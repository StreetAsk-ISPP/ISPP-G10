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2715" windowWidth="38640" windowHeight="21120" tabRatio="600" firstSheet="1" activeTab="5" autoFilterDateGrouping="1"/>
  </bookViews>
  <sheets>
    <sheet xmlns:r="http://schemas.openxmlformats.org/officeDocument/2006/relationships" name="Contribución a los entregables" sheetId="1" state="visible" r:id="rId1"/>
    <sheet xmlns:r="http://schemas.openxmlformats.org/officeDocument/2006/relationships" name="Comentarios sobre #DP" sheetId="2" state="visible" r:id="rId2"/>
    <sheet xmlns:r="http://schemas.openxmlformats.org/officeDocument/2006/relationships" name="Comentarios sobre #S1" sheetId="3" state="visible" r:id="rId3"/>
    <sheet xmlns:r="http://schemas.openxmlformats.org/officeDocument/2006/relationships" name="Comentarios sobre #S2" sheetId="4" state="visible" r:id="rId4"/>
    <sheet xmlns:r="http://schemas.openxmlformats.org/officeDocument/2006/relationships" name="Comentarios sobre #S3" sheetId="5" state="visible" r:id="rId5"/>
    <sheet xmlns:r="http://schemas.openxmlformats.org/officeDocument/2006/relationships" name="Comentarios sobre #PPL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h:mm:ss;@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9"/>
    </font>
    <font>
      <name val="Aptos Narrow"/>
      <family val="2"/>
      <b val="1"/>
      <color theme="1"/>
      <sz val="9"/>
      <scheme val="minor"/>
    </font>
    <font>
      <name val="Calibri"/>
      <family val="2"/>
      <color theme="1"/>
      <sz val="12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3">
    <xf numFmtId="0" fontId="1" fillId="0" borderId="0"/>
    <xf numFmtId="9" fontId="1" fillId="0" borderId="0"/>
    <xf numFmtId="0" fontId="8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9" fontId="2" fillId="0" borderId="1" applyAlignment="1" pivotButton="0" quotePrefix="0" xfId="1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0" fontId="0" fillId="0" borderId="0" applyAlignment="1" pivotButton="0" quotePrefix="0" xfId="1">
      <alignment horizontal="center" vertical="center"/>
    </xf>
    <xf numFmtId="1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1">
      <alignment horizontal="center" vertical="center" wrapText="1"/>
    </xf>
    <xf numFmtId="0" fontId="8" fillId="0" borderId="0" applyAlignment="1" pivotButton="0" quotePrefix="0" xfId="2">
      <alignment horizontal="center" vertical="center"/>
    </xf>
    <xf numFmtId="164" fontId="2" fillId="0" borderId="1" applyAlignment="1" pivotButton="0" quotePrefix="0" xfId="1">
      <alignment horizontal="center" vertical="center"/>
    </xf>
    <xf numFmtId="10" fontId="2" fillId="0" borderId="1" applyAlignment="1" pivotButton="0" quotePrefix="0" xfId="1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2" fontId="2" fillId="0" borderId="1" applyAlignment="1" pivotButton="0" quotePrefix="0" xfId="1">
      <alignment horizontal="center" vertical="center" wrapText="1"/>
    </xf>
    <xf numFmtId="0" fontId="0" fillId="0" borderId="3" applyAlignment="1" pivotButton="0" quotePrefix="0" xfId="0">
      <alignment vertical="center"/>
    </xf>
    <xf numFmtId="46" fontId="9" fillId="0" borderId="0" applyAlignment="1" pivotButton="0" quotePrefix="0" xfId="0">
      <alignment horizontal="center" vertical="center"/>
    </xf>
    <xf numFmtId="21" fontId="2" fillId="0" borderId="0" applyAlignment="1" pivotButton="0" quotePrefix="0" xfId="0">
      <alignment horizontal="center" vertical="center"/>
    </xf>
    <xf numFmtId="46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10" fontId="0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21" fontId="9" fillId="0" borderId="0" applyAlignment="1" pivotButton="0" quotePrefix="0" xfId="0">
      <alignment horizontal="center" vertical="center"/>
    </xf>
  </cellXfs>
  <cellStyles count="3">
    <cellStyle name="Normal" xfId="0" builtinId="0"/>
    <cellStyle name="Porcentaje" xfId="1" builtinId="5"/>
    <cellStyle name="Hipervínculo" xfId="2" builtinId="8"/>
  </cellStyles>
  <dxfs count="56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bgColor theme="9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github.com/StreetAsk-ISPP/ISPP-G10/blob/trunk/metrics/performance-metrics.md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StreetAsk-ISPP/ISPP-G10/blob/trunk/metrics/performance-metrics.md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StreetAsk-ISPP/ISPP-G10/blob/trunk/metrics/performance-metrics.m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A10" zoomScale="90" workbookViewId="0">
      <selection activeCell="G19" sqref="G19"/>
    </sheetView>
  </sheetViews>
  <sheetFormatPr baseColWidth="10" defaultColWidth="11.44140625" defaultRowHeight="14.4"/>
  <cols>
    <col width="16.33203125" customWidth="1" min="1" max="1"/>
    <col width="38.33203125" customWidth="1" min="2" max="2"/>
    <col width="10.6640625" customWidth="1" style="2" min="3" max="7"/>
  </cols>
  <sheetData>
    <row r="1" ht="48.6" customFormat="1" customHeight="1" s="5" thickBot="1">
      <c r="A1" s="29" t="inlineStr">
        <is>
          <t>Nombre</t>
        </is>
      </c>
      <c r="B1" s="29" t="inlineStr">
        <is>
          <t>Apellidos</t>
        </is>
      </c>
      <c r="C1" s="29" t="inlineStr">
        <is>
          <t>Devising a project (#DP)</t>
        </is>
      </c>
      <c r="D1" s="29" t="inlineStr">
        <is>
          <t>Sprint 1 (#S1)</t>
        </is>
      </c>
      <c r="E1" s="29" t="inlineStr">
        <is>
          <t>Sprint 2 (#S2)</t>
        </is>
      </c>
      <c r="F1" s="29" t="inlineStr">
        <is>
          <t>Sprint 3 (#S3)</t>
        </is>
      </c>
      <c r="G1" s="29" t="inlineStr">
        <is>
          <t>Preparing project launch (#PPL)</t>
        </is>
      </c>
    </row>
    <row r="2" ht="15" customHeight="1" thickBot="1">
      <c r="A2" s="1" t="inlineStr">
        <is>
          <t>Santia</t>
        </is>
      </c>
      <c r="B2" s="1" t="inlineStr">
        <is>
          <t>Bregu</t>
        </is>
      </c>
      <c r="C2" s="3" t="n">
        <v>1.2</v>
      </c>
      <c r="D2" s="3" t="n">
        <v>1.05</v>
      </c>
      <c r="E2" s="3" t="n">
        <v>1.09</v>
      </c>
      <c r="F2" s="3" t="n">
        <v>1.424873301986371</v>
      </c>
      <c r="G2" s="3" t="n">
        <v>1.28</v>
      </c>
    </row>
    <row r="3" ht="15" customHeight="1" thickBot="1">
      <c r="A3" s="1" t="inlineStr">
        <is>
          <t>Pablo</t>
        </is>
      </c>
      <c r="B3" s="1" t="inlineStr">
        <is>
          <t>Arrabal Hermoso</t>
        </is>
      </c>
      <c r="C3" s="3" t="n">
        <v>1</v>
      </c>
      <c r="D3" s="3" t="n">
        <v>1</v>
      </c>
      <c r="E3" s="3" t="n">
        <v>0.84</v>
      </c>
      <c r="F3" s="3" t="n">
        <v>0.992435242599619</v>
      </c>
      <c r="G3" s="3" t="n">
        <v>1</v>
      </c>
    </row>
    <row r="4" ht="15" customHeight="1" thickBot="1">
      <c r="A4" s="1" t="inlineStr">
        <is>
          <t>Manuel</t>
        </is>
      </c>
      <c r="B4" s="1" t="inlineStr">
        <is>
          <t>Zoilo Buzon Muñoz</t>
        </is>
      </c>
      <c r="C4" s="3" t="n">
        <v>1</v>
      </c>
      <c r="D4" s="3" t="n">
        <v>1.05</v>
      </c>
      <c r="E4" s="3" t="n">
        <v>1.11</v>
      </c>
      <c r="F4" s="3" t="n">
        <v>1.260940883445482</v>
      </c>
      <c r="G4" s="3" t="n">
        <v>1.3</v>
      </c>
    </row>
    <row r="5" ht="15" customHeight="1" thickBot="1">
      <c r="A5" s="1" t="inlineStr">
        <is>
          <t>Manuel</t>
        </is>
      </c>
      <c r="B5" s="1" t="inlineStr">
        <is>
          <t>Chica Lopez</t>
        </is>
      </c>
      <c r="C5" s="3" t="n">
        <v>0.8</v>
      </c>
      <c r="D5" s="3" t="n">
        <v>0.9</v>
      </c>
      <c r="E5" s="3" t="n">
        <v>0.79</v>
      </c>
      <c r="F5" s="3" t="n">
        <v>0.6904879088646894</v>
      </c>
      <c r="G5" s="3" t="n">
        <v>0.7</v>
      </c>
    </row>
    <row r="6">
      <c r="A6" s="1" t="inlineStr">
        <is>
          <t>Celia del Pilar</t>
        </is>
      </c>
      <c r="B6" s="1" t="inlineStr">
        <is>
          <t>Dorantes Ruiz</t>
        </is>
      </c>
      <c r="C6" s="3" t="n">
        <v>1</v>
      </c>
      <c r="D6" s="3" t="n">
        <v>1</v>
      </c>
      <c r="E6" s="3" t="n">
        <v>1.1</v>
      </c>
      <c r="F6" s="3" t="n">
        <v>1.074872192111006</v>
      </c>
      <c r="G6" s="3" t="n">
        <v>1</v>
      </c>
    </row>
    <row r="7" ht="15" customHeight="1" thickBot="1">
      <c r="A7" s="1" t="inlineStr">
        <is>
          <t>Santiago</t>
        </is>
      </c>
      <c r="B7" s="1" t="inlineStr">
        <is>
          <t>Fernandez Roman</t>
        </is>
      </c>
      <c r="C7" s="3" t="n">
        <v>1</v>
      </c>
      <c r="D7" s="3" t="n">
        <v>1</v>
      </c>
      <c r="E7" s="3" t="n">
        <v>0.89</v>
      </c>
      <c r="F7" s="3" t="n">
        <v>1.049505799290139</v>
      </c>
      <c r="G7" s="3" t="n">
        <v>1</v>
      </c>
    </row>
    <row r="8" ht="15" customHeight="1" thickBot="1">
      <c r="A8" s="1" t="inlineStr">
        <is>
          <t>Raquel</t>
        </is>
      </c>
      <c r="B8" s="1" t="inlineStr">
        <is>
          <t xml:space="preserve"> García Hortal</t>
        </is>
      </c>
      <c r="C8" s="3" t="n">
        <v>1</v>
      </c>
      <c r="D8" s="3" t="n">
        <v>1</v>
      </c>
      <c r="E8" s="3" t="n">
        <v>1.09</v>
      </c>
      <c r="F8" s="3" t="n">
        <v>1.111865486167509</v>
      </c>
      <c r="G8" s="3" t="n">
        <v>1</v>
      </c>
    </row>
    <row r="9" ht="15" customHeight="1" thickBot="1">
      <c r="A9" s="1" t="inlineStr">
        <is>
          <t>Oscar</t>
        </is>
      </c>
      <c r="B9" s="1" t="inlineStr">
        <is>
          <t xml:space="preserve"> Gomez Gonzalez</t>
        </is>
      </c>
      <c r="C9" s="3" t="n">
        <v>1</v>
      </c>
      <c r="D9" s="3" t="n">
        <v>1</v>
      </c>
      <c r="E9" s="3" t="n">
        <v>0.84</v>
      </c>
      <c r="F9" s="3" t="n">
        <v>0.8914978189035502</v>
      </c>
      <c r="G9" s="3" t="n">
        <v>1</v>
      </c>
    </row>
    <row r="10" ht="15" customHeight="1" thickBot="1">
      <c r="A10" s="1" t="inlineStr">
        <is>
          <t xml:space="preserve"> Manuel</t>
        </is>
      </c>
      <c r="B10" s="1" t="inlineStr">
        <is>
          <t xml:space="preserve"> Lavado Corredera</t>
        </is>
      </c>
      <c r="C10" s="3" t="n">
        <v>1</v>
      </c>
      <c r="D10" s="3" t="n">
        <v>1</v>
      </c>
      <c r="E10" s="3" t="n">
        <v>1.18</v>
      </c>
      <c r="F10" s="3" t="n">
        <v>0.925406424877129</v>
      </c>
      <c r="G10" s="3" t="n">
        <v>1</v>
      </c>
    </row>
    <row r="11" ht="15" customHeight="1" thickBot="1">
      <c r="A11" s="1" t="inlineStr">
        <is>
          <t>Guillermo</t>
        </is>
      </c>
      <c r="B11" s="1" t="inlineStr">
        <is>
          <t>Linares Borrego</t>
        </is>
      </c>
      <c r="C11" s="3" t="n">
        <v>1</v>
      </c>
      <c r="D11" s="3" t="n">
        <v>1.03</v>
      </c>
      <c r="E11" s="3" t="n">
        <v>1.22</v>
      </c>
      <c r="F11" s="3" t="n">
        <v>1.048089751410881</v>
      </c>
      <c r="G11" s="3" t="n">
        <v>1.06</v>
      </c>
    </row>
    <row r="12" ht="15" customHeight="1" thickBot="1">
      <c r="A12" s="1" t="inlineStr">
        <is>
          <t xml:space="preserve"> Ana</t>
        </is>
      </c>
      <c r="B12" s="1" t="inlineStr">
        <is>
          <t>Martin Carrillo</t>
        </is>
      </c>
      <c r="C12" s="3" t="n">
        <v>1</v>
      </c>
      <c r="D12" s="3" t="n">
        <v>1</v>
      </c>
      <c r="E12" s="3" t="n">
        <v>1</v>
      </c>
      <c r="F12" s="3" t="n">
        <v>0.859173655692168</v>
      </c>
      <c r="G12" s="3" t="n">
        <v>0.7</v>
      </c>
    </row>
    <row r="13" ht="15" customHeight="1" thickBot="1">
      <c r="A13" s="1" t="inlineStr">
        <is>
          <t xml:space="preserve"> Miguel</t>
        </is>
      </c>
      <c r="B13" s="1" t="inlineStr">
        <is>
          <t>Arturo Mir Ceballos</t>
        </is>
      </c>
      <c r="C13" s="3" t="n">
        <v>1</v>
      </c>
      <c r="D13" s="3" t="n">
        <v>0.95</v>
      </c>
      <c r="E13" s="3" t="n">
        <v>0.6</v>
      </c>
      <c r="F13" s="3" t="n">
        <v>0.8542213152711962</v>
      </c>
      <c r="G13" s="3" t="n">
        <v>1</v>
      </c>
    </row>
    <row r="14" ht="15" customHeight="1" thickBot="1">
      <c r="A14" s="1" t="inlineStr">
        <is>
          <t xml:space="preserve"> Roberto</t>
        </is>
      </c>
      <c r="B14" s="1" t="inlineStr">
        <is>
          <t>Muñoz Perez</t>
        </is>
      </c>
      <c r="C14" s="3" t="n">
        <v>1</v>
      </c>
      <c r="D14" s="3" t="n">
        <v>1</v>
      </c>
      <c r="E14" s="3" t="n">
        <v>0.8100000000000001</v>
      </c>
      <c r="F14" s="3" t="n">
        <v>1.061653193800313</v>
      </c>
      <c r="G14" s="3" t="n">
        <v>1</v>
      </c>
    </row>
    <row r="15" ht="15" customHeight="1" thickBot="1">
      <c r="A15" s="1" t="inlineStr">
        <is>
          <t>Manuel</t>
        </is>
      </c>
      <c r="B15" s="1" t="inlineStr">
        <is>
          <t xml:space="preserve"> Orta Perez</t>
        </is>
      </c>
      <c r="C15" s="3" t="n">
        <v>1</v>
      </c>
      <c r="D15" s="3" t="n">
        <v>1</v>
      </c>
      <c r="E15" s="3" t="n">
        <v>0.95</v>
      </c>
      <c r="F15" s="3" t="n">
        <v>1.105259814168593</v>
      </c>
      <c r="G15" s="3" t="n">
        <v>1</v>
      </c>
    </row>
    <row r="16" ht="15" customHeight="1" thickBot="1">
      <c r="A16" s="1" t="inlineStr">
        <is>
          <t xml:space="preserve"> Javier</t>
        </is>
      </c>
      <c r="B16" s="1" t="inlineStr">
        <is>
          <t xml:space="preserve"> Pallarés González</t>
        </is>
      </c>
      <c r="C16" s="3" t="n">
        <v>1</v>
      </c>
      <c r="D16" s="3" t="n">
        <v>1.02</v>
      </c>
      <c r="E16" s="3" t="n">
        <v>1.16</v>
      </c>
      <c r="F16" s="3" t="n">
        <v>0.9639382358186633</v>
      </c>
      <c r="G16" s="3" t="n">
        <v>1.06</v>
      </c>
    </row>
    <row r="17" ht="15" customHeight="1" thickBot="1">
      <c r="A17" s="1" t="inlineStr">
        <is>
          <t xml:space="preserve"> Dario</t>
        </is>
      </c>
      <c r="B17" s="1" t="inlineStr">
        <is>
          <t xml:space="preserve"> Rodriguez Sastre</t>
        </is>
      </c>
      <c r="C17" s="3" t="n">
        <v>1</v>
      </c>
      <c r="D17" s="3" t="n">
        <v>1</v>
      </c>
      <c r="E17" s="3" t="n">
        <v>0.9399999999999999</v>
      </c>
      <c r="F17" s="3" t="n">
        <v>0.9482239315153321</v>
      </c>
      <c r="G17" s="3" t="n">
        <v>1</v>
      </c>
    </row>
    <row r="18" ht="15" customHeight="1" thickBot="1">
      <c r="A18" s="1" t="inlineStr">
        <is>
          <t>Jose Maria</t>
        </is>
      </c>
      <c r="B18" s="1" t="inlineStr">
        <is>
          <t>Silva Guzman</t>
        </is>
      </c>
      <c r="C18" s="3" t="n">
        <v>1</v>
      </c>
      <c r="D18" s="3" t="n">
        <v>1</v>
      </c>
      <c r="E18" s="3" t="n">
        <v>1.03</v>
      </c>
      <c r="F18" s="3" t="n">
        <v>1.073823551249069</v>
      </c>
      <c r="G18" s="3" t="n">
        <v>1</v>
      </c>
    </row>
    <row r="19" ht="15" customHeight="1" thickBot="1">
      <c r="A19" s="1" t="inlineStr">
        <is>
          <t>Sergio</t>
        </is>
      </c>
      <c r="B19" s="1" t="inlineStr">
        <is>
          <t xml:space="preserve"> Terrazas Lobato</t>
        </is>
      </c>
      <c r="C19" s="3" t="n">
        <v>1</v>
      </c>
      <c r="D19" s="3" t="n">
        <v>1</v>
      </c>
      <c r="E19" s="3" t="n">
        <v>1.15</v>
      </c>
      <c r="F19" s="3" t="n">
        <v>0.9414804818849206</v>
      </c>
      <c r="G19" s="3" t="n">
        <v>0.9</v>
      </c>
    </row>
    <row r="20" ht="15" customHeight="1" thickBot="1">
      <c r="A20" s="1" t="inlineStr">
        <is>
          <t xml:space="preserve"> Dario</t>
        </is>
      </c>
      <c r="B20" s="1" t="inlineStr">
        <is>
          <t>Zafra Ruiz</t>
        </is>
      </c>
      <c r="C20" s="3" t="n">
        <v>1</v>
      </c>
      <c r="D20" s="3" t="n">
        <v>1</v>
      </c>
      <c r="E20" s="3" t="n">
        <v>1.09</v>
      </c>
      <c r="F20" s="3" t="n">
        <v>1.001406097272539</v>
      </c>
      <c r="G20" s="3" t="n">
        <v>1</v>
      </c>
    </row>
    <row r="21" ht="15" customHeight="1" thickBot="1">
      <c r="A21" s="1" t="inlineStr">
        <is>
          <t>Jose</t>
        </is>
      </c>
      <c r="B21" s="1" t="inlineStr">
        <is>
          <t>Egido Carnereo</t>
        </is>
      </c>
      <c r="C21" s="3" t="n">
        <v>1</v>
      </c>
      <c r="D21" s="3" t="n">
        <v>1</v>
      </c>
      <c r="E21" s="3" t="n">
        <v>1.12</v>
      </c>
      <c r="F21" s="3" t="n">
        <v>0.7208449136708324</v>
      </c>
      <c r="G21" s="3" t="n">
        <v>1</v>
      </c>
    </row>
    <row r="22" ht="15" customHeight="1" thickBot="1">
      <c r="A22" s="1" t="n"/>
      <c r="B22" s="1" t="n"/>
      <c r="C22" s="3" t="n"/>
      <c r="D22" s="3" t="n"/>
      <c r="E22" s="3" t="n"/>
      <c r="F22" s="3" t="n"/>
      <c r="G22" s="3" t="n"/>
    </row>
    <row r="23" ht="15" customHeight="1" thickBot="1">
      <c r="A23" s="1" t="n"/>
      <c r="B23" s="1" t="n"/>
      <c r="C23" s="3" t="n"/>
      <c r="D23" s="3" t="n"/>
      <c r="E23" s="3" t="n"/>
      <c r="F23" s="3" t="n"/>
      <c r="G23" s="3" t="n"/>
    </row>
    <row r="24" ht="15" customHeight="1" thickBot="1">
      <c r="A24" s="1" t="n"/>
      <c r="B24" s="1" t="n"/>
      <c r="C24" s="3" t="n"/>
      <c r="D24" s="3" t="n"/>
      <c r="E24" s="3" t="n"/>
      <c r="F24" s="3" t="n"/>
      <c r="G24" s="3" t="n"/>
    </row>
    <row r="25" ht="15" customHeight="1" thickBot="1">
      <c r="A25" s="1" t="n"/>
      <c r="B25" s="1" t="n"/>
      <c r="C25" s="3" t="n"/>
      <c r="D25" s="3" t="n"/>
      <c r="E25" s="3" t="n"/>
      <c r="F25" s="3" t="n"/>
      <c r="G25" s="3" t="n"/>
    </row>
    <row r="27" ht="28.8" customHeight="1">
      <c r="A27" s="8" t="inlineStr">
        <is>
          <t>Numero de Miembros</t>
        </is>
      </c>
      <c r="B27" s="2" t="n">
        <v>20</v>
      </c>
    </row>
    <row r="28">
      <c r="A28" t="inlineStr">
        <is>
          <t>TOTAL Asignado</t>
        </is>
      </c>
      <c r="C28" s="28">
        <f>SUM(C2:C25)/$B$27</f>
        <v/>
      </c>
      <c r="D28" s="28">
        <f>SUM(D2:D25)/$B$27</f>
        <v/>
      </c>
      <c r="E28" s="28">
        <f>SUM(E2:E25)/$B$27</f>
        <v/>
      </c>
      <c r="F28" s="28">
        <f>SUM(F2:F25)/$B$27</f>
        <v/>
      </c>
      <c r="G28" s="28">
        <f>SUM(G2:G25)/$B$27</f>
        <v/>
      </c>
    </row>
    <row r="29">
      <c r="A29" t="inlineStr">
        <is>
          <t>Por Asignar</t>
        </is>
      </c>
      <c r="C29" s="7">
        <f>1-C28</f>
        <v/>
      </c>
      <c r="D29" s="7">
        <f>1-D28</f>
        <v/>
      </c>
      <c r="E29" s="7">
        <f>1-E28</f>
        <v/>
      </c>
      <c r="F29" s="7">
        <f>1-F28</f>
        <v/>
      </c>
      <c r="G29" s="7">
        <f>1-G28</f>
        <v/>
      </c>
    </row>
    <row r="32">
      <c r="A32" s="10" t="inlineStr">
        <is>
          <t>IMPORTANTE:</t>
        </is>
      </c>
      <c r="B32" t="inlineStr">
        <is>
          <t>La fila de TOTAL Asignado debe tener el valor 100% (resaltado en verde).</t>
        </is>
      </c>
    </row>
    <row r="33">
      <c r="B33" s="25" t="inlineStr">
        <is>
      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      </is>
      </c>
    </row>
    <row r="34" ht="79.5" customHeight="1">
      <c r="B34" s="25" t="inlineStr">
        <is>
          <t>En el caso de que la distribución sea asimetrica, hay que rellenar un comentario explicando la situación en la pestaña "Comentarios sobre XX" del entregable correspondiente.</t>
        </is>
      </c>
    </row>
    <row r="35" ht="47.25" customHeight="1">
      <c r="B35" s="25" t="inlineStr">
        <is>
          <t>En cada entregable solo se puede actualizar la columna del entregable correspondiente SIN modificar la distribución de entregables anteriores.</t>
        </is>
      </c>
    </row>
    <row r="36" ht="44.25" customHeight="1"/>
    <row r="38" ht="15.6" customHeight="1">
      <c r="D38" s="9" t="n"/>
    </row>
  </sheetData>
  <mergeCells count="3">
    <mergeCell ref="B35:G35"/>
    <mergeCell ref="B34:G34"/>
    <mergeCell ref="B33:G33"/>
  </mergeCells>
  <conditionalFormatting sqref="C28:G28">
    <cfRule type="cellIs" priority="5" operator="equal" dxfId="7">
      <formula>1</formula>
    </cfRule>
    <cfRule type="cellIs" priority="6" operator="equal" dxfId="6">
      <formula>0</formula>
    </cfRule>
    <cfRule type="cellIs" priority="7" operator="lessThan" dxfId="5">
      <formula>1</formula>
    </cfRule>
    <cfRule type="cellIs" priority="8" operator="greaterThan" dxfId="4">
      <formula>1</formula>
    </cfRule>
  </conditionalFormatting>
  <conditionalFormatting sqref="C29:G29">
    <cfRule type="cellIs" priority="1" operator="equal" dxfId="3">
      <formula>""</formula>
    </cfRule>
    <cfRule type="cellIs" priority="2" operator="equal" dxfId="2">
      <formula>0</formula>
    </cfRule>
    <cfRule type="cellIs" priority="3" operator="greaterThan" dxfId="1">
      <formula>0</formula>
    </cfRule>
    <cfRule type="cellIs" priority="4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:C1"/>
    </sheetView>
  </sheetViews>
  <sheetFormatPr baseColWidth="10" defaultColWidth="11.44140625" defaultRowHeight="14.4"/>
  <sheetData>
    <row r="1" ht="101.7" customHeight="1">
      <c r="A1" s="26" t="inlineStr">
        <is>
          <t>Manuel Chica Lopez se incorporó mas tarde en el grupo, por esto tiene menos horas en Clockify</t>
        </is>
      </c>
    </row>
    <row r="3">
      <c r="E3" s="11" t="n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1.44140625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zoomScale="90" zoomScaleNormal="90" workbookViewId="0">
      <selection activeCell="E64" sqref="E64"/>
    </sheetView>
  </sheetViews>
  <sheetFormatPr baseColWidth="10" defaultColWidth="11.44140625" defaultRowHeight="14.4"/>
  <cols>
    <col width="22.44140625" customWidth="1" min="1" max="1"/>
    <col width="20.5546875" customWidth="1" min="2" max="2"/>
    <col width="22.5546875" customWidth="1" min="3" max="3"/>
    <col width="27" customWidth="1" min="4" max="4"/>
    <col width="25.88671875" customWidth="1" min="5" max="5"/>
    <col width="31" customWidth="1" min="6" max="6"/>
    <col width="30.6640625" customWidth="1" min="7" max="7"/>
    <col width="15.109375" customWidth="1" min="8" max="8"/>
  </cols>
  <sheetData>
    <row r="1" ht="15" customHeight="1" thickBot="1">
      <c r="A1" s="12" t="inlineStr">
        <is>
          <t>Comentarios sobre S2</t>
        </is>
      </c>
      <c r="B1" s="29" t="inlineStr">
        <is>
          <t>Nombre</t>
        </is>
      </c>
      <c r="C1" s="29" t="inlineStr">
        <is>
          <t>Apellidos</t>
        </is>
      </c>
      <c r="D1" s="29" t="inlineStr">
        <is>
          <t>Horas Clockify</t>
        </is>
      </c>
      <c r="E1" s="29" t="inlineStr">
        <is>
          <t>Horas ponderadas</t>
        </is>
      </c>
      <c r="F1" s="29" t="inlineStr">
        <is>
          <t>Notas métricas individuales</t>
        </is>
      </c>
      <c r="G1" s="29" t="inlineStr">
        <is>
          <t>Notas total #S2</t>
        </is>
      </c>
      <c r="H1" s="29" t="inlineStr">
        <is>
          <t>Sprint 2 (#S2)</t>
        </is>
      </c>
    </row>
    <row r="2" ht="15" customHeight="1" thickBot="1">
      <c r="B2" s="13" t="inlineStr">
        <is>
          <t>Santia</t>
        </is>
      </c>
      <c r="C2" s="13" t="inlineStr">
        <is>
          <t>Bregu</t>
        </is>
      </c>
      <c r="D2" s="16" t="n">
        <v>1.299872685185185</v>
      </c>
      <c r="E2" s="17">
        <f>(D2*24) / 30</f>
        <v/>
      </c>
      <c r="F2" s="20" t="n">
        <v>7.5</v>
      </c>
      <c r="G2" s="20">
        <f>((E2*10)+F2)/2</f>
        <v/>
      </c>
      <c r="H2" s="3">
        <f>G2 / AVERAGE($G$2:$G$21)</f>
        <v/>
      </c>
    </row>
    <row r="3" ht="15" customHeight="1" thickBot="1">
      <c r="B3" s="13" t="inlineStr">
        <is>
          <t>Pablo</t>
        </is>
      </c>
      <c r="C3" s="13" t="inlineStr">
        <is>
          <t>Arrabal Hermoso</t>
        </is>
      </c>
      <c r="D3" s="16" t="n">
        <v>0.9846643518518519</v>
      </c>
      <c r="E3" s="17">
        <f>(D3*24) / 30</f>
        <v/>
      </c>
      <c r="F3" s="20" t="n">
        <v>6</v>
      </c>
      <c r="G3" s="20">
        <f>((E3*10)+F3)/2</f>
        <v/>
      </c>
      <c r="H3" s="3">
        <f>G3 / AVERAGE($G$2:$G$21)</f>
        <v/>
      </c>
    </row>
    <row r="4" ht="15" customHeight="1" thickBot="1">
      <c r="B4" s="13" t="inlineStr">
        <is>
          <t>Manuel</t>
        </is>
      </c>
      <c r="C4" s="13" t="inlineStr">
        <is>
          <t>Zoilo Buzon Muñoz</t>
        </is>
      </c>
      <c r="D4" s="16" t="n">
        <v>1.351238425925926</v>
      </c>
      <c r="E4" s="17">
        <f>(D4*24) / 30</f>
        <v/>
      </c>
      <c r="F4" s="20" t="n">
        <v>7.5</v>
      </c>
      <c r="G4" s="20">
        <f>((E4*10)+F4)/2</f>
        <v/>
      </c>
      <c r="H4" s="3">
        <f>G4 / AVERAGE($G$2:$G$21)</f>
        <v/>
      </c>
    </row>
    <row r="5" ht="15" customHeight="1" thickBot="1">
      <c r="B5" s="13" t="inlineStr">
        <is>
          <t>Manuel</t>
        </is>
      </c>
      <c r="C5" s="13" t="inlineStr">
        <is>
          <t>Chica Lopez</t>
        </is>
      </c>
      <c r="D5" s="16" t="n">
        <v>0.6287962962962963</v>
      </c>
      <c r="E5" s="17">
        <f>(D5*24) / 30</f>
        <v/>
      </c>
      <c r="F5" s="20" t="n">
        <v>8</v>
      </c>
      <c r="G5" s="20">
        <f>((E5*10)+F5)/2</f>
        <v/>
      </c>
      <c r="H5" s="3">
        <f>G5 / AVERAGE($G$2:$G$21)</f>
        <v/>
      </c>
    </row>
    <row r="6" ht="15" customHeight="1" thickBot="1">
      <c r="B6" s="13" t="inlineStr">
        <is>
          <t>Celia del Pilar</t>
        </is>
      </c>
      <c r="C6" s="13" t="inlineStr">
        <is>
          <t>Dorantes Ruiz</t>
        </is>
      </c>
      <c r="D6" s="16" t="n">
        <v>1.255798611111111</v>
      </c>
      <c r="E6" s="17">
        <f>(D6*24) / 30</f>
        <v/>
      </c>
      <c r="F6" s="20" t="n">
        <v>8</v>
      </c>
      <c r="G6" s="20">
        <f>((E6*10)+F6)/2</f>
        <v/>
      </c>
      <c r="H6" s="3">
        <f>G6 / AVERAGE($G$2:$G$21)</f>
        <v/>
      </c>
    </row>
    <row r="7" ht="15" customHeight="1" thickBot="1">
      <c r="B7" s="13" t="inlineStr">
        <is>
          <t>Santiago</t>
        </is>
      </c>
      <c r="C7" s="13" t="inlineStr">
        <is>
          <t>Fernandez Roman</t>
        </is>
      </c>
      <c r="D7" s="16" t="n">
        <v>1.07431712962963</v>
      </c>
      <c r="E7" s="17">
        <f>(D7*24) / 30</f>
        <v/>
      </c>
      <c r="F7" s="20" t="n">
        <v>6</v>
      </c>
      <c r="G7" s="20">
        <f>((E7*10)+F7)/2</f>
        <v/>
      </c>
      <c r="H7" s="3">
        <f>G7 / AVERAGE($G$2:$G$21)</f>
        <v/>
      </c>
      <c r="L7" s="18" t="n"/>
    </row>
    <row r="8" ht="15" customHeight="1" thickBot="1">
      <c r="B8" s="13" t="inlineStr">
        <is>
          <t>Raquel</t>
        </is>
      </c>
      <c r="C8" s="13" t="inlineStr">
        <is>
          <t xml:space="preserve"> García Hortal</t>
        </is>
      </c>
      <c r="D8" s="16" t="n">
        <v>1.24125</v>
      </c>
      <c r="E8" s="17">
        <f>(D8*24) / 30</f>
        <v/>
      </c>
      <c r="F8" s="20" t="n">
        <v>8</v>
      </c>
      <c r="G8" s="20">
        <f>((E8*10)+F8)/2</f>
        <v/>
      </c>
      <c r="H8" s="3">
        <f>G8 / AVERAGE($G$2:$G$21)</f>
        <v/>
      </c>
    </row>
    <row r="9" ht="15" customHeight="1" thickBot="1">
      <c r="B9" s="13" t="inlineStr">
        <is>
          <t>Oscar</t>
        </is>
      </c>
      <c r="C9" s="13" t="inlineStr">
        <is>
          <t xml:space="preserve"> Gomez Gonzalez</t>
        </is>
      </c>
      <c r="D9" s="16" t="n">
        <v>0.9793287037037037</v>
      </c>
      <c r="E9" s="17">
        <f>(D9*24) / 30</f>
        <v/>
      </c>
      <c r="F9" s="20" t="n">
        <v>6</v>
      </c>
      <c r="G9" s="20">
        <f>((E9*10)+F9)/2</f>
        <v/>
      </c>
      <c r="H9" s="3">
        <f>G9 / AVERAGE($G$2:$G$21)</f>
        <v/>
      </c>
    </row>
    <row r="10" ht="15" customHeight="1" thickBot="1">
      <c r="B10" s="13" t="inlineStr">
        <is>
          <t xml:space="preserve"> Manuel</t>
        </is>
      </c>
      <c r="C10" s="13" t="inlineStr">
        <is>
          <t xml:space="preserve"> Lavado Corredera</t>
        </is>
      </c>
      <c r="D10" s="16" t="n">
        <v>1.173611111111111</v>
      </c>
      <c r="E10" s="17">
        <f>(D10*24) / 30</f>
        <v/>
      </c>
      <c r="F10" s="20" t="n">
        <v>10</v>
      </c>
      <c r="G10" s="20">
        <f>((E10*10)+F10)/2</f>
        <v/>
      </c>
      <c r="H10" s="3">
        <f>G10 / AVERAGE($G$2:$G$21)</f>
        <v/>
      </c>
    </row>
    <row r="11" ht="15" customHeight="1" thickBot="1">
      <c r="B11" s="13" t="inlineStr">
        <is>
          <t>Guillermo</t>
        </is>
      </c>
      <c r="C11" s="13" t="inlineStr">
        <is>
          <t>Linares Borrego</t>
        </is>
      </c>
      <c r="D11" s="16" t="n">
        <v>1.267256944444444</v>
      </c>
      <c r="E11" s="17">
        <f>(D11*24) / 30</f>
        <v/>
      </c>
      <c r="F11" s="20" t="n">
        <v>10</v>
      </c>
      <c r="G11" s="20">
        <f>((E11*10)+F11)/2</f>
        <v/>
      </c>
      <c r="H11" s="3">
        <f>G11 / AVERAGE($G$2:$G$21)</f>
        <v/>
      </c>
    </row>
    <row r="12" ht="15" customHeight="1" thickBot="1">
      <c r="B12" s="13" t="inlineStr">
        <is>
          <t xml:space="preserve"> Ana</t>
        </is>
      </c>
      <c r="C12" s="13" t="inlineStr">
        <is>
          <t>Martin Carrillo</t>
        </is>
      </c>
      <c r="D12" s="16" t="n">
        <v>1.305555555555556</v>
      </c>
      <c r="E12" s="17">
        <f>(D12*24) / 30</f>
        <v/>
      </c>
      <c r="F12" s="20" t="n">
        <v>6</v>
      </c>
      <c r="G12" s="20">
        <f>((E12*10)+F12)/2</f>
        <v/>
      </c>
      <c r="H12" s="3">
        <f>G12 / AVERAGE($G$2:$G$21)</f>
        <v/>
      </c>
    </row>
    <row r="13" ht="15" customHeight="1" thickBot="1">
      <c r="B13" s="13" t="inlineStr">
        <is>
          <t xml:space="preserve"> Miguel</t>
        </is>
      </c>
      <c r="C13" s="13" t="inlineStr">
        <is>
          <t>Arturo Mir Ceballos</t>
        </is>
      </c>
      <c r="D13" s="16" t="n">
        <v>0.6166666666666667</v>
      </c>
      <c r="E13" s="17">
        <f>(D13*24) / 30</f>
        <v/>
      </c>
      <c r="F13" s="20" t="n">
        <v>5</v>
      </c>
      <c r="G13" s="20">
        <f>((E13*10)+F13)/2</f>
        <v/>
      </c>
      <c r="H13" s="3">
        <f>G13 / AVERAGE($G$2:$G$21)</f>
        <v/>
      </c>
    </row>
    <row r="14" ht="15" customHeight="1" thickBot="1">
      <c r="B14" s="13" t="inlineStr">
        <is>
          <t xml:space="preserve"> Roberto</t>
        </is>
      </c>
      <c r="C14" s="13" t="inlineStr">
        <is>
          <t>Muñoz Perez</t>
        </is>
      </c>
      <c r="D14" s="16" t="n">
        <v>0.9224652777777778</v>
      </c>
      <c r="E14" s="17">
        <f>(D14*24) / 30</f>
        <v/>
      </c>
      <c r="F14" s="20" t="n">
        <v>6</v>
      </c>
      <c r="G14" s="20">
        <f>((E14*10)+F14)/2</f>
        <v/>
      </c>
      <c r="H14" s="3">
        <f>G14 / AVERAGE($G$2:$G$21)</f>
        <v/>
      </c>
      <c r="L14" s="19" t="n"/>
    </row>
    <row r="15" ht="15" customHeight="1" thickBot="1">
      <c r="B15" s="13" t="inlineStr">
        <is>
          <t>Manuel</t>
        </is>
      </c>
      <c r="C15" s="13" t="inlineStr">
        <is>
          <t xml:space="preserve"> Orta Perez</t>
        </is>
      </c>
      <c r="D15" s="16" t="n">
        <v>1.206400462962963</v>
      </c>
      <c r="E15" s="17">
        <f>(D15*24) / 30</f>
        <v/>
      </c>
      <c r="F15" s="20" t="n">
        <v>6</v>
      </c>
      <c r="G15" s="20">
        <f>((E15*10)+F15)/2</f>
        <v/>
      </c>
      <c r="H15" s="3">
        <f>G15 / AVERAGE($G$2:$G$21)</f>
        <v/>
      </c>
    </row>
    <row r="16" ht="15" customHeight="1" thickBot="1">
      <c r="B16" s="13" t="inlineStr">
        <is>
          <t xml:space="preserve"> Javier</t>
        </is>
      </c>
      <c r="C16" s="13" t="inlineStr">
        <is>
          <t xml:space="preserve"> Pallarés González</t>
        </is>
      </c>
      <c r="D16" s="16" t="n">
        <v>1.203715277777778</v>
      </c>
      <c r="E16" s="17">
        <f>(D16*24) / 30</f>
        <v/>
      </c>
      <c r="F16" s="20" t="n">
        <v>9.5</v>
      </c>
      <c r="G16" s="20">
        <f>((E16*10)+F16)/2</f>
        <v/>
      </c>
      <c r="H16" s="3">
        <f>G16 / AVERAGE($G$2:$G$21)</f>
        <v/>
      </c>
    </row>
    <row r="17" ht="15" customHeight="1" thickBot="1">
      <c r="B17" s="13" t="inlineStr">
        <is>
          <t xml:space="preserve"> Dario</t>
        </is>
      </c>
      <c r="C17" s="13" t="inlineStr">
        <is>
          <t xml:space="preserve"> Rodriguez Sastre</t>
        </is>
      </c>
      <c r="D17" s="16" t="n">
        <v>1.156909722222222</v>
      </c>
      <c r="E17" s="17">
        <f>(D17*24) / 30</f>
        <v/>
      </c>
      <c r="F17" s="20" t="n">
        <v>6</v>
      </c>
      <c r="G17" s="20">
        <f>((E17*10)+F17)/2</f>
        <v/>
      </c>
      <c r="H17" s="3">
        <f>G17 / AVERAGE($G$2:$G$21)</f>
        <v/>
      </c>
    </row>
    <row r="18" ht="15" customHeight="1" thickBot="1">
      <c r="B18" s="13" t="inlineStr">
        <is>
          <t>Jose Maria</t>
        </is>
      </c>
      <c r="C18" s="13" t="inlineStr">
        <is>
          <t>Silva Guzman</t>
        </is>
      </c>
      <c r="D18" s="16" t="n">
        <v>1.252280092592593</v>
      </c>
      <c r="E18" s="17">
        <f>(D18*24) / 30</f>
        <v/>
      </c>
      <c r="F18" s="20" t="n">
        <v>7</v>
      </c>
      <c r="G18" s="20">
        <f>((E18*10)+F18)/2</f>
        <v/>
      </c>
      <c r="H18" s="3">
        <f>G18 / AVERAGE($G$2:$G$21)</f>
        <v/>
      </c>
    </row>
    <row r="19" ht="15" customHeight="1" thickBot="1">
      <c r="B19" s="13" t="inlineStr">
        <is>
          <t>Sergio</t>
        </is>
      </c>
      <c r="C19" s="13" t="inlineStr">
        <is>
          <t xml:space="preserve"> Terrazas Lobato</t>
        </is>
      </c>
      <c r="D19" s="16" t="n">
        <v>1.3</v>
      </c>
      <c r="E19" s="17">
        <f>(D19*24) / 30</f>
        <v/>
      </c>
      <c r="F19" s="20" t="n">
        <v>8.5</v>
      </c>
      <c r="G19" s="20">
        <f>((E19*10)+F19)/2</f>
        <v/>
      </c>
      <c r="H19" s="3">
        <f>G19 / AVERAGE($G$2:$G$21)</f>
        <v/>
      </c>
    </row>
    <row r="20" ht="15" customHeight="1" thickBot="1">
      <c r="B20" s="13" t="inlineStr">
        <is>
          <t xml:space="preserve"> Dario</t>
        </is>
      </c>
      <c r="C20" s="13" t="inlineStr">
        <is>
          <t>Zafra Ruiz</t>
        </is>
      </c>
      <c r="D20" s="16" t="n">
        <v>1.228634259259259</v>
      </c>
      <c r="E20" s="17">
        <f>(D20*24) / 30</f>
        <v/>
      </c>
      <c r="F20" s="20" t="n">
        <v>8</v>
      </c>
      <c r="G20" s="20">
        <f>((E20*10)+F20)/2</f>
        <v/>
      </c>
      <c r="H20" s="3">
        <f>G20 / AVERAGE($G$2:$G$21)</f>
        <v/>
      </c>
    </row>
    <row r="21" ht="15" customHeight="1" thickBot="1">
      <c r="B21" s="13" t="inlineStr">
        <is>
          <t>Jose</t>
        </is>
      </c>
      <c r="C21" s="13" t="inlineStr">
        <is>
          <t>Egido Carnereo</t>
        </is>
      </c>
      <c r="D21" s="16" t="n">
        <v>1.308252314814815</v>
      </c>
      <c r="E21" s="17">
        <f>(D21*24) / 30</f>
        <v/>
      </c>
      <c r="F21" s="20" t="n">
        <v>8</v>
      </c>
      <c r="G21" s="20">
        <f>((E21*10)+F21)/2</f>
        <v/>
      </c>
      <c r="H21" s="3">
        <f>G21 / AVERAGE($G$2:$G$21)</f>
        <v/>
      </c>
    </row>
    <row r="22" ht="15" customHeight="1" thickBot="1">
      <c r="B22" s="13" t="n"/>
      <c r="C22" s="13" t="n"/>
      <c r="D22" s="14" t="n"/>
      <c r="E22" s="14" t="n"/>
      <c r="F22" s="14" t="n"/>
      <c r="G22" s="14" t="n"/>
      <c r="H22" s="3" t="n"/>
    </row>
    <row r="23" ht="15" customHeight="1" thickBot="1">
      <c r="B23" s="13" t="n"/>
      <c r="C23" s="13" t="n"/>
      <c r="D23" s="14" t="n"/>
      <c r="E23" s="14" t="n"/>
      <c r="F23" s="14" t="n"/>
      <c r="G23" s="14" t="n"/>
      <c r="H23" s="3" t="n"/>
    </row>
    <row r="24" ht="15" customHeight="1" thickBot="1">
      <c r="B24" s="13" t="n"/>
      <c r="C24" s="13" t="n"/>
      <c r="D24" s="14" t="n"/>
      <c r="E24" s="14" t="n"/>
      <c r="F24" s="14" t="n"/>
      <c r="G24" s="14" t="n"/>
      <c r="H24" s="3" t="n"/>
    </row>
    <row r="25" ht="15" customHeight="1" thickBot="1">
      <c r="B25" s="13" t="n"/>
      <c r="C25" s="13" t="n"/>
      <c r="D25" s="14" t="n"/>
      <c r="E25" s="14" t="n"/>
      <c r="F25" s="14" t="n"/>
      <c r="G25" s="14" t="n"/>
      <c r="H25" s="3" t="n"/>
    </row>
    <row r="26" ht="15" customHeight="1" thickBot="1">
      <c r="C26" s="21" t="n"/>
      <c r="D26" s="2" t="inlineStr">
        <is>
          <t>Horas mínimas #S2 (30 horas)</t>
        </is>
      </c>
      <c r="E26" s="2" t="inlineStr">
        <is>
          <t>Porcentaje Horas #S2</t>
        </is>
      </c>
      <c r="F26" s="15" t="inlineStr">
        <is>
          <t>Métricas individuales</t>
        </is>
      </c>
      <c r="G26" s="2" t="inlineStr">
        <is>
          <t>Media 50% entre métricas y clockify</t>
        </is>
      </c>
      <c r="H26" s="2" t="n"/>
    </row>
    <row r="27">
      <c r="A27" t="inlineStr">
        <is>
          <t xml:space="preserve">Numero de Miembros: </t>
        </is>
      </c>
      <c r="B27" s="21" t="n">
        <v>20</v>
      </c>
      <c r="C27" s="12" t="n"/>
      <c r="D27" s="2" t="n"/>
      <c r="H27" s="2" t="n"/>
    </row>
    <row r="28">
      <c r="C28" s="28" t="inlineStr">
        <is>
          <t>(El formato de las horas el excel lo transforma a dias por eso se ve asi)</t>
        </is>
      </c>
      <c r="H28" s="28">
        <f>SUM(H2:H21)/20</f>
        <v/>
      </c>
    </row>
    <row r="29">
      <c r="D29" s="7" t="n"/>
      <c r="H29" s="7">
        <f>1-H28</f>
        <v/>
      </c>
    </row>
    <row r="32">
      <c r="D32" s="11" t="n"/>
    </row>
  </sheetData>
  <mergeCells count="1">
    <mergeCell ref="C28:E28"/>
  </mergeCells>
  <conditionalFormatting sqref="C28">
    <cfRule type="cellIs" priority="13" operator="equal" dxfId="7">
      <formula>1</formula>
    </cfRule>
    <cfRule type="cellIs" priority="14" operator="equal" dxfId="6">
      <formula>0</formula>
    </cfRule>
    <cfRule type="cellIs" priority="15" operator="lessThan" dxfId="5">
      <formula>1</formula>
    </cfRule>
    <cfRule type="cellIs" priority="16" operator="greaterThan" dxfId="4">
      <formula>1</formula>
    </cfRule>
  </conditionalFormatting>
  <conditionalFormatting sqref="D29">
    <cfRule type="cellIs" priority="9" operator="equal" dxfId="3">
      <formula>""</formula>
    </cfRule>
    <cfRule type="cellIs" priority="10" operator="equal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H28">
    <cfRule type="cellIs" priority="5" operator="equal" dxfId="7">
      <formula>1</formula>
    </cfRule>
    <cfRule type="cellIs" priority="6" operator="equal" dxfId="6">
      <formula>0</formula>
    </cfRule>
    <cfRule type="cellIs" priority="7" operator="lessThan" dxfId="5">
      <formula>1</formula>
    </cfRule>
    <cfRule type="cellIs" priority="8" operator="greaterThan" dxfId="4">
      <formula>1</formula>
    </cfRule>
  </conditionalFormatting>
  <conditionalFormatting sqref="H29">
    <cfRule type="cellIs" priority="1" operator="equal" dxfId="3">
      <formula>""</formula>
    </cfRule>
    <cfRule type="cellIs" priority="2" operator="equal" dxfId="2">
      <formula>0</formula>
    </cfRule>
    <cfRule type="cellIs" priority="3" operator="greaterThan" dxfId="1">
      <formula>0</formula>
    </cfRule>
    <cfRule type="cellIs" priority="4" operator="lessThan" dxfId="0">
      <formula>0</formula>
    </cfRule>
  </conditionalFormatting>
  <hyperlinks>
    <hyperlink xmlns:r="http://schemas.openxmlformats.org/officeDocument/2006/relationships" ref="F2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zoomScale="145" zoomScaleNormal="145" workbookViewId="0">
      <selection activeCell="H29" sqref="A1:H29"/>
    </sheetView>
  </sheetViews>
  <sheetFormatPr baseColWidth="10" defaultColWidth="11.44140625" defaultRowHeight="14.4"/>
  <cols>
    <col width="22.44140625" customWidth="1" min="1" max="1"/>
    <col width="20.5546875" customWidth="1" min="2" max="2"/>
    <col width="22.5546875" customWidth="1" min="3" max="3"/>
    <col width="27" customWidth="1" min="4" max="4"/>
    <col width="25.88671875" customWidth="1" min="5" max="5"/>
    <col width="31" customWidth="1" min="6" max="6"/>
    <col width="30.6640625" customWidth="1" min="7" max="7"/>
    <col width="15.109375" customWidth="1" min="8" max="8"/>
  </cols>
  <sheetData>
    <row r="1" ht="15" customHeight="1" thickBot="1">
      <c r="A1" s="12" t="inlineStr">
        <is>
          <t>Comentarios sobre S3</t>
        </is>
      </c>
      <c r="B1" s="29" t="inlineStr">
        <is>
          <t>Nombre</t>
        </is>
      </c>
      <c r="C1" s="29" t="inlineStr">
        <is>
          <t>Apellidos</t>
        </is>
      </c>
      <c r="D1" s="29" t="inlineStr">
        <is>
          <t>Horas Clockify</t>
        </is>
      </c>
      <c r="E1" s="29" t="inlineStr">
        <is>
          <t>Horas ponderadas</t>
        </is>
      </c>
      <c r="F1" s="29" t="inlineStr">
        <is>
          <t>Notas métricas individuales</t>
        </is>
      </c>
      <c r="G1" s="29" t="inlineStr">
        <is>
          <t>Notas total #S3</t>
        </is>
      </c>
      <c r="H1" s="29" t="inlineStr">
        <is>
          <t>Sprint 3 (#S3)</t>
        </is>
      </c>
    </row>
    <row r="2" ht="15" customHeight="1" thickBot="1">
      <c r="B2" s="13" t="inlineStr">
        <is>
          <t>Santia</t>
        </is>
      </c>
      <c r="C2" s="13" t="inlineStr">
        <is>
          <t>Bregu</t>
        </is>
      </c>
      <c r="D2" s="22" t="n">
        <v>1.321215277777778</v>
      </c>
      <c r="E2" s="17">
        <f>(D2*24) / 20</f>
        <v/>
      </c>
      <c r="F2" s="20" t="n">
        <v>10</v>
      </c>
      <c r="G2" s="20">
        <f>((E2*10)+F2)/2</f>
        <v/>
      </c>
      <c r="H2" s="3">
        <f>G2 / AVERAGE($G$2:$G$21)</f>
        <v/>
      </c>
    </row>
    <row r="3" ht="15" customHeight="1" thickBot="1">
      <c r="B3" s="13" t="inlineStr">
        <is>
          <t>Pablo</t>
        </is>
      </c>
      <c r="C3" s="13" t="inlineStr">
        <is>
          <t>Arrabal Hermoso</t>
        </is>
      </c>
      <c r="D3" s="23" t="n">
        <v>0.8756597222222222</v>
      </c>
      <c r="E3" s="17">
        <f>(D3*24) / 20</f>
        <v/>
      </c>
      <c r="F3" s="20" t="n">
        <v>7.5</v>
      </c>
      <c r="G3" s="20">
        <f>((E3*10)+F3)/2</f>
        <v/>
      </c>
      <c r="H3" s="3">
        <f>G3 / AVERAGE($G$2:$G$21)</f>
        <v/>
      </c>
    </row>
    <row r="4" ht="15" customHeight="1" thickBot="1">
      <c r="B4" s="13" t="inlineStr">
        <is>
          <t>Manuel</t>
        </is>
      </c>
      <c r="C4" s="13" t="inlineStr">
        <is>
          <t>Zoilo Buzon Muñoz</t>
        </is>
      </c>
      <c r="D4" s="24" t="n">
        <v>1.073333333333333</v>
      </c>
      <c r="E4" s="17">
        <f>(D4*24) / 20</f>
        <v/>
      </c>
      <c r="F4" s="20" t="n">
        <v>10</v>
      </c>
      <c r="G4" s="20">
        <f>((E4*10)+F4)/2</f>
        <v/>
      </c>
      <c r="H4" s="3">
        <f>G4 / AVERAGE($G$2:$G$21)</f>
        <v/>
      </c>
    </row>
    <row r="5" ht="15" customHeight="1" thickBot="1">
      <c r="B5" s="13" t="inlineStr">
        <is>
          <t>Manuel</t>
        </is>
      </c>
      <c r="C5" s="13" t="inlineStr">
        <is>
          <t>Chica Lopez</t>
        </is>
      </c>
      <c r="D5" s="23" t="n">
        <v>0.7940856481481482</v>
      </c>
      <c r="E5" s="17">
        <f>(D5*24) / 20</f>
        <v/>
      </c>
      <c r="F5" s="20" t="n">
        <v>3</v>
      </c>
      <c r="G5" s="20">
        <f>((E5*10)+F5)/2</f>
        <v/>
      </c>
      <c r="H5" s="3">
        <f>G5 / AVERAGE($G$2:$G$21)</f>
        <v/>
      </c>
    </row>
    <row r="6" ht="15" customHeight="1" thickBot="1">
      <c r="B6" s="13" t="inlineStr">
        <is>
          <t>Celia del Pilar</t>
        </is>
      </c>
      <c r="C6" s="13" t="inlineStr">
        <is>
          <t>Dorantes Ruiz</t>
        </is>
      </c>
      <c r="D6" s="23" t="n">
        <v>0.9169791666666667</v>
      </c>
      <c r="E6" s="17">
        <f>(D6*24) / 20</f>
        <v/>
      </c>
      <c r="F6" s="20" t="n">
        <v>8.5</v>
      </c>
      <c r="G6" s="20">
        <f>((E6*10)+F6)/2</f>
        <v/>
      </c>
      <c r="H6" s="3">
        <f>G6 / AVERAGE($G$2:$G$21)</f>
        <v/>
      </c>
    </row>
    <row r="7" ht="15" customHeight="1" thickBot="1">
      <c r="B7" s="13" t="inlineStr">
        <is>
          <t>Santiago</t>
        </is>
      </c>
      <c r="C7" s="13" t="inlineStr">
        <is>
          <t>Fernandez Roman</t>
        </is>
      </c>
      <c r="D7" s="23" t="n">
        <v>0.9202893518518519</v>
      </c>
      <c r="E7" s="17">
        <f>(D7*24) / 20</f>
        <v/>
      </c>
      <c r="F7" s="20" t="n">
        <v>8</v>
      </c>
      <c r="G7" s="20">
        <f>((E7*10)+F7)/2</f>
        <v/>
      </c>
      <c r="H7" s="3">
        <f>G7 / AVERAGE($G$2:$G$21)</f>
        <v/>
      </c>
      <c r="L7" s="18" t="n"/>
    </row>
    <row r="8" ht="15" customHeight="1" thickBot="1">
      <c r="B8" s="13" t="inlineStr">
        <is>
          <t>Raquel</t>
        </is>
      </c>
      <c r="C8" s="13" t="inlineStr">
        <is>
          <t xml:space="preserve"> García Hortal</t>
        </is>
      </c>
      <c r="D8" s="23" t="n">
        <v>0.9729166666666667</v>
      </c>
      <c r="E8" s="17">
        <f>(D8*24) / 20</f>
        <v/>
      </c>
      <c r="F8" s="20" t="n">
        <v>8.5</v>
      </c>
      <c r="G8" s="20">
        <f>((E8*10)+F8)/2</f>
        <v/>
      </c>
      <c r="H8" s="3">
        <f>G8 / AVERAGE($G$2:$G$21)</f>
        <v/>
      </c>
    </row>
    <row r="9" ht="15" customHeight="1" thickBot="1">
      <c r="B9" s="13" t="inlineStr">
        <is>
          <t>Oscar</t>
        </is>
      </c>
      <c r="C9" s="13" t="inlineStr">
        <is>
          <t xml:space="preserve"> Gomez Gonzalez</t>
        </is>
      </c>
      <c r="D9" s="23" t="n">
        <v>0.7646990740740741</v>
      </c>
      <c r="E9" s="17">
        <f>(D9*24) / 20</f>
        <v/>
      </c>
      <c r="F9" s="20" t="n">
        <v>7</v>
      </c>
      <c r="G9" s="20">
        <f>((E9*10)+F9)/2</f>
        <v/>
      </c>
      <c r="H9" s="3">
        <f>G9 / AVERAGE($G$2:$G$21)</f>
        <v/>
      </c>
    </row>
    <row r="10" ht="15" customHeight="1" thickBot="1">
      <c r="B10" s="13" t="inlineStr">
        <is>
          <t xml:space="preserve"> Manuel</t>
        </is>
      </c>
      <c r="C10" s="13" t="inlineStr">
        <is>
          <t xml:space="preserve"> Lavado Corredera</t>
        </is>
      </c>
      <c r="D10" s="23" t="n">
        <v>0.8159722222222222</v>
      </c>
      <c r="E10" s="17">
        <f>(D10*24) / 20</f>
        <v/>
      </c>
      <c r="F10" s="20" t="n">
        <v>7</v>
      </c>
      <c r="G10" s="20">
        <f>((E10*10)+F10)/2</f>
        <v/>
      </c>
      <c r="H10" s="3">
        <f>G10 / AVERAGE($G$2:$G$21)</f>
        <v/>
      </c>
    </row>
    <row r="11" ht="15" customHeight="1" thickBot="1">
      <c r="B11" s="13" t="inlineStr">
        <is>
          <t>Guillermo</t>
        </is>
      </c>
      <c r="C11" s="13" t="inlineStr">
        <is>
          <t>Linares Borrego</t>
        </is>
      </c>
      <c r="D11" s="23" t="n">
        <v>0.8348148148148148</v>
      </c>
      <c r="E11" s="17">
        <f>(D11*24) / 20</f>
        <v/>
      </c>
      <c r="F11" s="20" t="n">
        <v>9</v>
      </c>
      <c r="G11" s="20">
        <f>((E11*10)+F11)/2</f>
        <v/>
      </c>
      <c r="H11" s="3">
        <f>G11 / AVERAGE($G$2:$G$21)</f>
        <v/>
      </c>
    </row>
    <row r="12" ht="15" customHeight="1" thickBot="1">
      <c r="B12" s="13" t="inlineStr">
        <is>
          <t xml:space="preserve"> Ana</t>
        </is>
      </c>
      <c r="C12" s="13" t="inlineStr">
        <is>
          <t>Martin Carrillo</t>
        </is>
      </c>
      <c r="D12" s="23" t="n">
        <v>0.7574884259259259</v>
      </c>
      <c r="E12" s="17">
        <f>(D12*24) / 20</f>
        <v/>
      </c>
      <c r="F12" s="20" t="n">
        <v>6.5</v>
      </c>
      <c r="G12" s="20">
        <f>((E12*10)+F12)/2</f>
        <v/>
      </c>
      <c r="H12" s="3">
        <f>G12 / AVERAGE($G$2:$G$21)</f>
        <v/>
      </c>
    </row>
    <row r="13" ht="15" customHeight="1" thickBot="1">
      <c r="B13" s="13" t="inlineStr">
        <is>
          <t xml:space="preserve"> Miguel</t>
        </is>
      </c>
      <c r="C13" s="13" t="inlineStr">
        <is>
          <t>Arturo Mir Ceballos</t>
        </is>
      </c>
      <c r="D13" s="23" t="n">
        <v>0.875</v>
      </c>
      <c r="E13" s="17">
        <f>(D13*24) / 20</f>
        <v/>
      </c>
      <c r="F13" s="20" t="n">
        <v>5</v>
      </c>
      <c r="G13" s="20">
        <f>((E13*10)+F13)/2</f>
        <v/>
      </c>
      <c r="H13" s="3">
        <f>G13 / AVERAGE($G$2:$G$21)</f>
        <v/>
      </c>
    </row>
    <row r="14" ht="15" customHeight="1" thickBot="1">
      <c r="B14" s="13" t="inlineStr">
        <is>
          <t xml:space="preserve"> Roberto</t>
        </is>
      </c>
      <c r="C14" s="13" t="inlineStr">
        <is>
          <t>Muñoz Perez</t>
        </is>
      </c>
      <c r="D14" s="23" t="n">
        <v>0.9386574074074074</v>
      </c>
      <c r="E14" s="17">
        <f>(D14*24) / 20</f>
        <v/>
      </c>
      <c r="F14" s="20" t="n">
        <v>8</v>
      </c>
      <c r="G14" s="20">
        <f>((E14*10)+F14)/2</f>
        <v/>
      </c>
      <c r="H14" s="3">
        <f>G14 / AVERAGE($G$2:$G$21)</f>
        <v/>
      </c>
      <c r="L14" s="19" t="n"/>
    </row>
    <row r="15" ht="15" customHeight="1" thickBot="1">
      <c r="B15" s="13" t="inlineStr">
        <is>
          <t>Manuel</t>
        </is>
      </c>
      <c r="C15" s="13" t="inlineStr">
        <is>
          <t xml:space="preserve"> Orta Perez</t>
        </is>
      </c>
      <c r="D15" s="24" t="n">
        <v>1.046261574074074</v>
      </c>
      <c r="E15" s="17">
        <f>(D15*24) / 20</f>
        <v/>
      </c>
      <c r="F15" s="20" t="n">
        <v>7.5</v>
      </c>
      <c r="G15" s="20">
        <f>((E15*10)+F15)/2</f>
        <v/>
      </c>
      <c r="H15" s="3">
        <f>G15 / AVERAGE($G$2:$G$21)</f>
        <v/>
      </c>
    </row>
    <row r="16" ht="15" customHeight="1" thickBot="1">
      <c r="B16" s="13" t="inlineStr">
        <is>
          <t xml:space="preserve"> Javier</t>
        </is>
      </c>
      <c r="C16" s="13" t="inlineStr">
        <is>
          <t xml:space="preserve"> Pallarés González</t>
        </is>
      </c>
      <c r="D16" s="23" t="n">
        <v>0.7492361111111111</v>
      </c>
      <c r="E16" s="17">
        <f>(D16*24) / 20</f>
        <v/>
      </c>
      <c r="F16" s="20" t="n">
        <v>8.5</v>
      </c>
      <c r="G16" s="20">
        <f>((E16*10)+F16)/2</f>
        <v/>
      </c>
      <c r="H16" s="3">
        <f>G16 / AVERAGE($G$2:$G$21)</f>
        <v/>
      </c>
    </row>
    <row r="17" ht="15" customHeight="1" thickBot="1">
      <c r="B17" s="13" t="inlineStr">
        <is>
          <t xml:space="preserve"> Dario</t>
        </is>
      </c>
      <c r="C17" s="13" t="inlineStr">
        <is>
          <t xml:space="preserve"> Rodriguez Sastre</t>
        </is>
      </c>
      <c r="D17" s="23" t="n">
        <v>0.8088078703703704</v>
      </c>
      <c r="E17" s="17">
        <f>(D17*24) / 20</f>
        <v/>
      </c>
      <c r="F17" s="20" t="n">
        <v>7.5</v>
      </c>
      <c r="G17" s="20">
        <f>((E17*10)+F17)/2</f>
        <v/>
      </c>
      <c r="H17" s="3">
        <f>G17 / AVERAGE($G$2:$G$21)</f>
        <v/>
      </c>
    </row>
    <row r="18" ht="15" customHeight="1" thickBot="1">
      <c r="B18" s="13" t="inlineStr">
        <is>
          <t>Jose Maria</t>
        </is>
      </c>
      <c r="C18" s="13" t="inlineStr">
        <is>
          <t>Silva Guzman</t>
        </is>
      </c>
      <c r="D18" s="23" t="n">
        <v>0.9570601851851852</v>
      </c>
      <c r="E18" s="17">
        <f>(D18*24) / 20</f>
        <v/>
      </c>
      <c r="F18" s="20" t="n">
        <v>8</v>
      </c>
      <c r="G18" s="20">
        <f>((E18*10)+F18)/2</f>
        <v/>
      </c>
      <c r="H18" s="3">
        <f>G18 / AVERAGE($G$2:$G$21)</f>
        <v/>
      </c>
    </row>
    <row r="19" ht="15" customHeight="1" thickBot="1">
      <c r="B19" s="13" t="inlineStr">
        <is>
          <t>Sergio</t>
        </is>
      </c>
      <c r="C19" s="13" t="inlineStr">
        <is>
          <t xml:space="preserve"> Terrazas Lobato</t>
        </is>
      </c>
      <c r="D19" s="23" t="n">
        <v>0.7986111111111112</v>
      </c>
      <c r="E19" s="17">
        <f>(D19*24) / 20</f>
        <v/>
      </c>
      <c r="F19" s="20" t="n">
        <v>7.5</v>
      </c>
      <c r="G19" s="20">
        <f>((E19*10)+F19)/2</f>
        <v/>
      </c>
      <c r="H19" s="3">
        <f>G19 / AVERAGE($G$2:$G$21)</f>
        <v/>
      </c>
    </row>
    <row r="20" ht="15" customHeight="1" thickBot="1">
      <c r="B20" s="13" t="inlineStr">
        <is>
          <t xml:space="preserve"> Dario</t>
        </is>
      </c>
      <c r="C20" s="13" t="inlineStr">
        <is>
          <t>Zafra Ruiz</t>
        </is>
      </c>
      <c r="D20" s="23" t="n">
        <v>0.8475578703703703</v>
      </c>
      <c r="E20" s="17">
        <f>(D20*24) / 20</f>
        <v/>
      </c>
      <c r="F20" s="20" t="n">
        <v>8</v>
      </c>
      <c r="G20" s="20">
        <f>((E20*10)+F20)/2</f>
        <v/>
      </c>
      <c r="H20" s="3">
        <f>G20 / AVERAGE($G$2:$G$21)</f>
        <v/>
      </c>
    </row>
    <row r="21" ht="15" customHeight="1" thickBot="1">
      <c r="B21" s="13" t="inlineStr">
        <is>
          <t>Jose</t>
        </is>
      </c>
      <c r="C21" s="13" t="inlineStr">
        <is>
          <t>Egido Carnereo</t>
        </is>
      </c>
      <c r="D21" s="23" t="n">
        <v>0.7566550925925926</v>
      </c>
      <c r="E21" s="17">
        <f>(D21*24) / 20</f>
        <v/>
      </c>
      <c r="F21" s="20" t="n">
        <v>4</v>
      </c>
      <c r="G21" s="20">
        <f>((E21*10)+F21)/2</f>
        <v/>
      </c>
      <c r="H21" s="3">
        <f>G21 / AVERAGE($G$2:$G$21)</f>
        <v/>
      </c>
    </row>
    <row r="22" ht="15" customHeight="1" thickBot="1">
      <c r="B22" s="13" t="n"/>
      <c r="C22" s="13" t="n"/>
      <c r="D22" s="14" t="n"/>
      <c r="E22" s="14" t="n"/>
      <c r="F22" s="14" t="n"/>
      <c r="G22" s="14" t="n"/>
      <c r="H22" s="3" t="n"/>
    </row>
    <row r="23" ht="15" customHeight="1" thickBot="1">
      <c r="B23" s="13" t="n"/>
      <c r="C23" s="13" t="n"/>
      <c r="D23" s="14" t="n"/>
      <c r="E23" s="14" t="n"/>
      <c r="F23" s="14" t="n"/>
      <c r="G23" s="14" t="n"/>
      <c r="H23" s="3" t="n"/>
    </row>
    <row r="24" ht="15" customHeight="1" thickBot="1">
      <c r="B24" s="13" t="n"/>
      <c r="C24" s="13" t="n"/>
      <c r="D24" s="14" t="n"/>
      <c r="E24" s="14" t="n"/>
      <c r="F24" s="14" t="n"/>
      <c r="G24" s="14" t="n"/>
      <c r="H24" s="3" t="n"/>
    </row>
    <row r="25" ht="15" customHeight="1" thickBot="1">
      <c r="B25" s="13" t="n"/>
      <c r="C25" s="13" t="n"/>
      <c r="D25" s="14" t="n"/>
      <c r="E25" s="14" t="n"/>
      <c r="F25" s="14" t="n"/>
      <c r="G25" s="14" t="n"/>
      <c r="H25" s="3" t="n"/>
    </row>
    <row r="26" ht="15" customHeight="1" thickBot="1">
      <c r="C26" s="21" t="n"/>
      <c r="D26" s="2" t="inlineStr">
        <is>
          <t>Horas mínimas #S3 (20 horas)</t>
        </is>
      </c>
      <c r="E26" s="2" t="inlineStr">
        <is>
          <t>Porcentaje Horas #S3</t>
        </is>
      </c>
      <c r="F26" s="15" t="inlineStr">
        <is>
          <t>Métricas individuales</t>
        </is>
      </c>
      <c r="G26" s="2" t="inlineStr">
        <is>
          <t>Media 50% entre métricas y clockify</t>
        </is>
      </c>
      <c r="H26" s="2" t="n"/>
    </row>
    <row r="27">
      <c r="A27" t="inlineStr">
        <is>
          <t xml:space="preserve">Numero de Miembros: </t>
        </is>
      </c>
      <c r="B27" s="21" t="n">
        <v>20</v>
      </c>
      <c r="C27" s="12" t="n"/>
      <c r="D27" s="2" t="n"/>
      <c r="H27" s="2" t="n"/>
    </row>
    <row r="28">
      <c r="C28" s="28" t="inlineStr">
        <is>
          <t>(El formato de las horas el excel lo transforma a dias por eso se ve asi)</t>
        </is>
      </c>
      <c r="H28" s="28">
        <f>SUM(H2:H21)/20</f>
        <v/>
      </c>
    </row>
    <row r="29">
      <c r="D29" s="7" t="n"/>
      <c r="H29" s="7">
        <f>1-H28</f>
        <v/>
      </c>
    </row>
    <row r="32">
      <c r="D32" s="11" t="n"/>
    </row>
  </sheetData>
  <mergeCells count="1">
    <mergeCell ref="C28:E28"/>
  </mergeCells>
  <conditionalFormatting sqref="C28">
    <cfRule type="cellIs" priority="13" operator="equal" dxfId="7">
      <formula>1</formula>
    </cfRule>
    <cfRule type="cellIs" priority="14" operator="equal" dxfId="6">
      <formula>0</formula>
    </cfRule>
    <cfRule type="cellIs" priority="15" operator="lessThan" dxfId="5">
      <formula>1</formula>
    </cfRule>
    <cfRule type="cellIs" priority="16" operator="greaterThan" dxfId="4">
      <formula>1</formula>
    </cfRule>
  </conditionalFormatting>
  <conditionalFormatting sqref="D29">
    <cfRule type="cellIs" priority="9" operator="equal" dxfId="3">
      <formula>""</formula>
    </cfRule>
    <cfRule type="cellIs" priority="10" operator="equal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H28">
    <cfRule type="cellIs" priority="5" operator="equal" dxfId="7">
      <formula>1</formula>
    </cfRule>
    <cfRule type="cellIs" priority="6" operator="equal" dxfId="6">
      <formula>0</formula>
    </cfRule>
    <cfRule type="cellIs" priority="7" operator="lessThan" dxfId="5">
      <formula>1</formula>
    </cfRule>
    <cfRule type="cellIs" priority="8" operator="greaterThan" dxfId="4">
      <formula>1</formula>
    </cfRule>
  </conditionalFormatting>
  <conditionalFormatting sqref="H29">
    <cfRule type="cellIs" priority="1" operator="equal" dxfId="3">
      <formula>""</formula>
    </cfRule>
    <cfRule type="cellIs" priority="2" operator="equal" dxfId="2">
      <formula>0</formula>
    </cfRule>
    <cfRule type="cellIs" priority="3" operator="greaterThan" dxfId="1">
      <formula>0</formula>
    </cfRule>
    <cfRule type="cellIs" priority="4" operator="lessThan" dxfId="0">
      <formula>0</formula>
    </cfRule>
  </conditionalFormatting>
  <hyperlinks>
    <hyperlink xmlns:r="http://schemas.openxmlformats.org/officeDocument/2006/relationships" ref="F2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zoomScale="115" zoomScaleNormal="115" workbookViewId="0">
      <selection activeCell="F12" sqref="F12"/>
    </sheetView>
  </sheetViews>
  <sheetFormatPr baseColWidth="10" defaultColWidth="11.44140625" defaultRowHeight="14.4"/>
  <cols>
    <col width="26.109375" customWidth="1" min="1" max="1"/>
    <col width="21.33203125" customWidth="1" min="2" max="2"/>
    <col width="35.77734375" customWidth="1" min="3" max="3"/>
    <col width="27.33203125" customWidth="1" min="4" max="4"/>
    <col width="21.21875" customWidth="1" min="5" max="5"/>
    <col width="26.44140625" customWidth="1" min="6" max="6"/>
    <col width="17.44140625" customWidth="1" min="7" max="7"/>
    <col width="19.33203125" customWidth="1" min="8" max="8"/>
  </cols>
  <sheetData>
    <row r="1" ht="15" customHeight="1" thickBot="1">
      <c r="A1" s="12" t="inlineStr">
        <is>
          <t>Comentarios sobre PPL</t>
        </is>
      </c>
      <c r="B1" s="29" t="inlineStr">
        <is>
          <t>Nombre</t>
        </is>
      </c>
      <c r="C1" s="29" t="inlineStr">
        <is>
          <t>Apellidos</t>
        </is>
      </c>
      <c r="D1" s="29" t="inlineStr">
        <is>
          <t>Horas Clockify</t>
        </is>
      </c>
      <c r="E1" s="29" t="inlineStr">
        <is>
          <t>Horas ponderadas</t>
        </is>
      </c>
      <c r="F1" s="29" t="inlineStr">
        <is>
          <t>Notas métricas individuales</t>
        </is>
      </c>
      <c r="G1" s="29" t="inlineStr">
        <is>
          <t>Notas total #PPL</t>
        </is>
      </c>
      <c r="H1" s="29" t="inlineStr">
        <is>
          <t>PPL</t>
        </is>
      </c>
    </row>
    <row r="2" ht="15" customHeight="1" thickBot="1">
      <c r="B2" s="13" t="inlineStr">
        <is>
          <t>Santia</t>
        </is>
      </c>
      <c r="C2" s="13" t="inlineStr">
        <is>
          <t>Bregu</t>
        </is>
      </c>
      <c r="D2" s="30" t="n">
        <v>0.8324305555555556</v>
      </c>
      <c r="E2" s="17">
        <f>(D2*24) / 20</f>
        <v/>
      </c>
      <c r="F2" s="20" t="n">
        <v>10</v>
      </c>
      <c r="G2" s="20">
        <f>((E2*10)+F2)/2</f>
        <v/>
      </c>
      <c r="H2" s="3">
        <f>G2 / AVERAGE($G$2:$G$21)</f>
        <v/>
      </c>
    </row>
    <row r="3" ht="27" customHeight="1" thickBot="1">
      <c r="B3" s="13" t="inlineStr">
        <is>
          <t>Pablo</t>
        </is>
      </c>
      <c r="C3" s="13" t="inlineStr">
        <is>
          <t>Arrabal Hermoso</t>
        </is>
      </c>
      <c r="D3" s="24" t="n">
        <v>1.09037037037037</v>
      </c>
      <c r="E3" s="17">
        <f>(D3*24) / 20</f>
        <v/>
      </c>
      <c r="F3" s="20" t="n">
        <v>7.5</v>
      </c>
      <c r="G3" s="20">
        <f>((E3*10)+F3)/2</f>
        <v/>
      </c>
      <c r="H3" s="3">
        <f>G3 / AVERAGE($G$2:$G$21)</f>
        <v/>
      </c>
    </row>
    <row r="4" ht="27" customHeight="1" thickBot="1">
      <c r="B4" s="13" t="inlineStr">
        <is>
          <t>Manuel</t>
        </is>
      </c>
      <c r="C4" s="13" t="inlineStr">
        <is>
          <t>Zoilo Buzon Muñoz</t>
        </is>
      </c>
      <c r="D4" s="24" t="n">
        <v>1.040104166666667</v>
      </c>
      <c r="E4" s="17">
        <f>(D4*24) / 20</f>
        <v/>
      </c>
      <c r="F4" s="20" t="n">
        <v>10</v>
      </c>
      <c r="G4" s="20">
        <f>((E4*10)+F4)/2</f>
        <v/>
      </c>
      <c r="H4" s="3">
        <f>G4 / AVERAGE($G$2:$G$21)</f>
        <v/>
      </c>
    </row>
    <row r="5" ht="15" customHeight="1" thickBot="1">
      <c r="B5" s="13" t="inlineStr">
        <is>
          <t>Manuel</t>
        </is>
      </c>
      <c r="C5" s="13" t="inlineStr">
        <is>
          <t>Chica Lopez</t>
        </is>
      </c>
      <c r="D5" s="23" t="n">
        <v>0.5645833333333333</v>
      </c>
      <c r="E5" s="17">
        <f>(D5*24) / 20</f>
        <v/>
      </c>
      <c r="F5" s="20" t="n">
        <v>3</v>
      </c>
      <c r="G5" s="20">
        <f>((E5*10)+F5)/2</f>
        <v/>
      </c>
      <c r="H5" s="3">
        <f>G5 / AVERAGE($G$2:$G$21)</f>
        <v/>
      </c>
    </row>
    <row r="6" ht="27" customHeight="1" thickBot="1">
      <c r="B6" s="13" t="inlineStr">
        <is>
          <t>Celia del Pilar</t>
        </is>
      </c>
      <c r="C6" s="13" t="inlineStr">
        <is>
          <t>Dorantes Ruiz</t>
        </is>
      </c>
      <c r="D6" s="24" t="n">
        <v>1.258900462962963</v>
      </c>
      <c r="E6" s="17">
        <f>(D6*24) / 20</f>
        <v/>
      </c>
      <c r="F6" s="20" t="n">
        <v>8.5</v>
      </c>
      <c r="G6" s="20">
        <f>((E6*10)+F6)/2</f>
        <v/>
      </c>
      <c r="H6" s="3">
        <f>G6 / AVERAGE($G$2:$G$21)</f>
        <v/>
      </c>
    </row>
    <row r="7" ht="27" customHeight="1" thickBot="1">
      <c r="B7" s="13" t="inlineStr">
        <is>
          <t>Santiago</t>
        </is>
      </c>
      <c r="C7" s="13" t="inlineStr">
        <is>
          <t>Fernandez Roman</t>
        </is>
      </c>
      <c r="D7" s="24" t="n">
        <v>0.797337962962963</v>
      </c>
      <c r="E7" s="17">
        <f>(D7*24) / 20</f>
        <v/>
      </c>
      <c r="F7" s="20" t="n">
        <v>8</v>
      </c>
      <c r="G7" s="20">
        <f>((E7*10)+F7)/2</f>
        <v/>
      </c>
      <c r="H7" s="3">
        <f>G7 / AVERAGE($G$2:$G$21)</f>
        <v/>
      </c>
    </row>
    <row r="8" ht="27" customHeight="1" thickBot="1">
      <c r="B8" s="13" t="inlineStr">
        <is>
          <t>Raquel</t>
        </is>
      </c>
      <c r="C8" s="13" t="inlineStr">
        <is>
          <t xml:space="preserve"> García Hortal</t>
        </is>
      </c>
      <c r="D8" s="23" t="n">
        <v>0.8375</v>
      </c>
      <c r="E8" s="17">
        <f>(D8*24) / 20</f>
        <v/>
      </c>
      <c r="F8" s="20" t="n">
        <v>8.5</v>
      </c>
      <c r="G8" s="20">
        <f>((E8*10)+F8)/2</f>
        <v/>
      </c>
      <c r="H8" s="3">
        <f>G8 / AVERAGE($G$2:$G$21)</f>
        <v/>
      </c>
    </row>
    <row r="9" ht="27" customHeight="1" thickBot="1">
      <c r="B9" s="13" t="inlineStr">
        <is>
          <t>Oscar</t>
        </is>
      </c>
      <c r="C9" s="13" t="inlineStr">
        <is>
          <t xml:space="preserve"> Gomez Gonzalez</t>
        </is>
      </c>
      <c r="D9" s="23" t="n">
        <v>0.7513888888888889</v>
      </c>
      <c r="E9" s="17">
        <f>(D9*24) / 20</f>
        <v/>
      </c>
      <c r="F9" s="20" t="n">
        <v>7</v>
      </c>
      <c r="G9" s="20">
        <f>((E9*10)+F9)/2</f>
        <v/>
      </c>
      <c r="H9" s="3">
        <f>G9 / AVERAGE($G$2:$G$21)</f>
        <v/>
      </c>
    </row>
    <row r="10" ht="27" customHeight="1" thickBot="1">
      <c r="B10" s="13" t="inlineStr">
        <is>
          <t xml:space="preserve"> Manuel</t>
        </is>
      </c>
      <c r="C10" s="13" t="inlineStr">
        <is>
          <t xml:space="preserve"> Lavado Corredera</t>
        </is>
      </c>
      <c r="D10" s="23" t="n">
        <v>0.8263888888888888</v>
      </c>
      <c r="E10" s="17">
        <f>(D10*24) / 20</f>
        <v/>
      </c>
      <c r="F10" s="20" t="n">
        <v>7</v>
      </c>
      <c r="G10" s="20">
        <f>((E10*10)+F10)/2</f>
        <v/>
      </c>
      <c r="H10" s="3">
        <f>G10 / AVERAGE($G$2:$G$21)</f>
        <v/>
      </c>
    </row>
    <row r="11" ht="27" customHeight="1" thickBot="1">
      <c r="B11" s="13" t="inlineStr">
        <is>
          <t>Guillermo</t>
        </is>
      </c>
      <c r="C11" s="13" t="inlineStr">
        <is>
          <t>Linares Borrego</t>
        </is>
      </c>
      <c r="D11" s="24" t="n">
        <v>1.034641203703704</v>
      </c>
      <c r="E11" s="17">
        <f>(D11*24) / 20</f>
        <v/>
      </c>
      <c r="F11" s="20" t="n">
        <v>9</v>
      </c>
      <c r="G11" s="20">
        <f>((E11*10)+F11)/2</f>
        <v/>
      </c>
      <c r="H11" s="3">
        <f>G11 / AVERAGE($G$2:$G$21)</f>
        <v/>
      </c>
    </row>
    <row r="12" ht="27" customHeight="1" thickBot="1">
      <c r="B12" s="13" t="inlineStr">
        <is>
          <t xml:space="preserve"> Ana</t>
        </is>
      </c>
      <c r="C12" s="13" t="inlineStr">
        <is>
          <t>Martin Carrillo</t>
        </is>
      </c>
      <c r="D12" s="23" t="n">
        <v>0.6416666666666667</v>
      </c>
      <c r="E12" s="17">
        <f>(D12*24) / 20</f>
        <v/>
      </c>
      <c r="F12" s="20" t="n">
        <v>6.5</v>
      </c>
      <c r="G12" s="20">
        <f>((E12*10)+F12)/2</f>
        <v/>
      </c>
      <c r="H12" s="3">
        <f>G12 / AVERAGE($G$2:$G$21)</f>
        <v/>
      </c>
    </row>
    <row r="13" ht="27" customHeight="1" thickBot="1">
      <c r="B13" s="13" t="inlineStr">
        <is>
          <t xml:space="preserve"> Miguel</t>
        </is>
      </c>
      <c r="C13" s="13" t="inlineStr">
        <is>
          <t>Arturo Mir Ceballos</t>
        </is>
      </c>
      <c r="D13" s="23" t="n">
        <v>0.9446527777777778</v>
      </c>
      <c r="E13" s="17">
        <f>(D13*24) / 20</f>
        <v/>
      </c>
      <c r="F13" s="20" t="n">
        <v>5</v>
      </c>
      <c r="G13" s="20">
        <f>((E13*10)+F13)/2</f>
        <v/>
      </c>
      <c r="H13" s="3">
        <f>G13 / AVERAGE($G$2:$G$21)</f>
        <v/>
      </c>
    </row>
    <row r="14" ht="27" customHeight="1" thickBot="1">
      <c r="B14" s="13" t="inlineStr">
        <is>
          <t xml:space="preserve"> Roberto</t>
        </is>
      </c>
      <c r="C14" s="13" t="inlineStr">
        <is>
          <t>Muñoz Perez</t>
        </is>
      </c>
      <c r="D14" s="23" t="n">
        <v>0.9858217592592593</v>
      </c>
      <c r="E14" s="17">
        <f>(D14*24) / 20</f>
        <v/>
      </c>
      <c r="F14" s="20" t="n">
        <v>8</v>
      </c>
      <c r="G14" s="20">
        <f>((E14*10)+F14)/2</f>
        <v/>
      </c>
      <c r="H14" s="3">
        <f>G14 / AVERAGE($G$2:$G$21)</f>
        <v/>
      </c>
    </row>
    <row r="15" ht="15" customHeight="1" thickBot="1">
      <c r="B15" s="13" t="inlineStr">
        <is>
          <t>Manuel</t>
        </is>
      </c>
      <c r="C15" s="13" t="inlineStr">
        <is>
          <t xml:space="preserve"> Orta Perez</t>
        </is>
      </c>
      <c r="D15" s="23" t="n">
        <v>0.8802662037037037</v>
      </c>
      <c r="E15" s="17">
        <f>(D15*24) / 20</f>
        <v/>
      </c>
      <c r="F15" s="20" t="n">
        <v>7.5</v>
      </c>
      <c r="G15" s="20">
        <f>((E15*10)+F15)/2</f>
        <v/>
      </c>
      <c r="H15" s="3">
        <f>G15 / AVERAGE($G$2:$G$21)</f>
        <v/>
      </c>
    </row>
    <row r="16" ht="27" customHeight="1" thickBot="1">
      <c r="B16" s="13" t="inlineStr">
        <is>
          <t xml:space="preserve"> Javier</t>
        </is>
      </c>
      <c r="C16" s="13" t="inlineStr">
        <is>
          <t xml:space="preserve"> Pallarés González</t>
        </is>
      </c>
      <c r="D16" s="23" t="n">
        <v>0.7780902777777777</v>
      </c>
      <c r="E16" s="17">
        <f>(D16*24) / 20</f>
        <v/>
      </c>
      <c r="F16" s="20" t="n">
        <v>8.5</v>
      </c>
      <c r="G16" s="20">
        <f>((E16*10)+F16)/2</f>
        <v/>
      </c>
      <c r="H16" s="3">
        <f>G16 / AVERAGE($G$2:$G$21)</f>
        <v/>
      </c>
    </row>
    <row r="17" ht="27" customHeight="1" thickBot="1">
      <c r="B17" s="13" t="inlineStr">
        <is>
          <t xml:space="preserve"> Dario</t>
        </is>
      </c>
      <c r="C17" s="13" t="inlineStr">
        <is>
          <t xml:space="preserve"> Rodriguez Sastre</t>
        </is>
      </c>
      <c r="D17" s="23" t="n">
        <v>0.848900462962963</v>
      </c>
      <c r="E17" s="17">
        <f>(D17*24) / 20</f>
        <v/>
      </c>
      <c r="F17" s="20" t="n">
        <v>7.5</v>
      </c>
      <c r="G17" s="20">
        <f>((E17*10)+F17)/2</f>
        <v/>
      </c>
      <c r="H17" s="3">
        <f>G17 / AVERAGE($G$2:$G$21)</f>
        <v/>
      </c>
    </row>
    <row r="18" ht="27" customHeight="1" thickBot="1">
      <c r="B18" s="13" t="inlineStr">
        <is>
          <t>Jose Maria</t>
        </is>
      </c>
      <c r="C18" s="13" t="inlineStr">
        <is>
          <t>Silva Guzman</t>
        </is>
      </c>
      <c r="D18" s="23" t="n">
        <v>0.9999421296296296</v>
      </c>
      <c r="E18" s="17">
        <f>(D18*24) / 20</f>
        <v/>
      </c>
      <c r="F18" s="20" t="n">
        <v>8</v>
      </c>
      <c r="G18" s="20">
        <f>((E18*10)+F18)/2</f>
        <v/>
      </c>
      <c r="H18" s="3">
        <f>G18 / AVERAGE($G$2:$G$21)</f>
        <v/>
      </c>
    </row>
    <row r="19" ht="27" customHeight="1" thickBot="1">
      <c r="B19" s="13" t="inlineStr">
        <is>
          <t>Sergio</t>
        </is>
      </c>
      <c r="C19" s="13" t="inlineStr">
        <is>
          <t xml:space="preserve"> Terrazas Lobato</t>
        </is>
      </c>
      <c r="D19" s="23" t="n">
        <v>0.8111111111111111</v>
      </c>
      <c r="E19" s="17">
        <f>(D19*24) / 20</f>
        <v/>
      </c>
      <c r="F19" s="20" t="n">
        <v>7.5</v>
      </c>
      <c r="G19" s="20">
        <f>((E19*10)+F19)/2</f>
        <v/>
      </c>
      <c r="H19" s="3">
        <f>G19 / AVERAGE($G$2:$G$21)</f>
        <v/>
      </c>
    </row>
    <row r="20" ht="15" customHeight="1" thickBot="1">
      <c r="B20" s="13" t="inlineStr">
        <is>
          <t xml:space="preserve"> Dario</t>
        </is>
      </c>
      <c r="C20" s="13" t="inlineStr">
        <is>
          <t>Zafra Ruiz</t>
        </is>
      </c>
      <c r="D20" s="23" t="n">
        <v>0.607662037037037</v>
      </c>
      <c r="E20" s="17">
        <f>(D20*24) / 20</f>
        <v/>
      </c>
      <c r="F20" s="20" t="n">
        <v>8</v>
      </c>
      <c r="G20" s="20">
        <f>((E20*10)+F20)/2</f>
        <v/>
      </c>
      <c r="H20" s="3">
        <f>G20 / AVERAGE($G$2:$G$21)</f>
        <v/>
      </c>
    </row>
    <row r="21" ht="27" customHeight="1" thickBot="1">
      <c r="B21" s="13" t="inlineStr">
        <is>
          <t>Jose</t>
        </is>
      </c>
      <c r="C21" s="13" t="inlineStr">
        <is>
          <t>Egido Carnereo</t>
        </is>
      </c>
      <c r="D21" s="24" t="n">
        <v>1.102916666666667</v>
      </c>
      <c r="E21" s="17">
        <f>(D21*24) / 20</f>
        <v/>
      </c>
      <c r="F21" s="20" t="n">
        <v>4</v>
      </c>
      <c r="G21" s="20">
        <f>((E21*10)+F21)/2</f>
        <v/>
      </c>
      <c r="H21" s="3">
        <f>G21 / AVERAGE($G$2:$G$21)</f>
        <v/>
      </c>
    </row>
    <row r="22" ht="15" customHeight="1" thickBot="1">
      <c r="B22" s="13" t="n"/>
      <c r="C22" s="13" t="n"/>
      <c r="D22" s="14" t="n"/>
      <c r="E22" s="14" t="n"/>
      <c r="F22" s="14" t="n"/>
      <c r="G22" s="14" t="n"/>
      <c r="H22" s="3" t="n"/>
    </row>
    <row r="23" ht="15" customHeight="1" thickBot="1">
      <c r="B23" s="13" t="n"/>
      <c r="C23" s="13" t="n"/>
      <c r="D23" s="14" t="n"/>
      <c r="E23" s="14" t="n"/>
      <c r="F23" s="14" t="n"/>
      <c r="G23" s="14" t="n"/>
      <c r="H23" s="3" t="n"/>
    </row>
    <row r="24" ht="15" customHeight="1" thickBot="1">
      <c r="B24" s="13" t="n"/>
      <c r="C24" s="13" t="n"/>
      <c r="D24" s="14" t="n"/>
      <c r="E24" s="14" t="n"/>
      <c r="F24" s="14" t="n"/>
      <c r="G24" s="14" t="n"/>
      <c r="H24" s="3" t="n"/>
    </row>
    <row r="25" ht="15" customHeight="1" thickBot="1">
      <c r="B25" s="13" t="n"/>
      <c r="C25" s="13" t="n"/>
      <c r="D25" s="14" t="n"/>
      <c r="E25" s="14" t="n"/>
      <c r="F25" s="14" t="n"/>
      <c r="G25" s="14" t="n"/>
      <c r="H25" s="3" t="n"/>
    </row>
    <row r="26" ht="15" customHeight="1" thickBot="1">
      <c r="C26" s="21" t="n"/>
      <c r="D26" s="2" t="inlineStr">
        <is>
          <t>Horas mínimas #S3 (20 horas)</t>
        </is>
      </c>
      <c r="E26" s="2" t="inlineStr">
        <is>
          <t>Porcentaje Horas #S3</t>
        </is>
      </c>
      <c r="F26" s="15" t="inlineStr">
        <is>
          <t>Métricas individuales</t>
        </is>
      </c>
      <c r="G26" s="2" t="inlineStr">
        <is>
          <t>Media 50% entre métricas y clockify</t>
        </is>
      </c>
      <c r="H26" s="2" t="n"/>
    </row>
    <row r="27">
      <c r="A27" t="inlineStr">
        <is>
          <t xml:space="preserve">Numero de Miembros: </t>
        </is>
      </c>
      <c r="B27" s="21" t="n">
        <v>20</v>
      </c>
      <c r="C27" s="12" t="n"/>
      <c r="D27" s="2" t="n"/>
      <c r="H27" s="2" t="n"/>
    </row>
    <row r="28">
      <c r="C28" s="28" t="inlineStr">
        <is>
          <t>(El formato de las horas el excel lo transforma a dias por eso se ve asi)</t>
        </is>
      </c>
      <c r="H28" s="28">
        <f>SUM(H2:H21)/20</f>
        <v/>
      </c>
    </row>
    <row r="29">
      <c r="D29" s="7" t="n"/>
      <c r="H29" s="7">
        <f>1-H28</f>
        <v/>
      </c>
    </row>
  </sheetData>
  <mergeCells count="1">
    <mergeCell ref="C28:E28"/>
  </mergeCells>
  <conditionalFormatting sqref="C28">
    <cfRule type="cellIs" priority="13" operator="equal" dxfId="7">
      <formula>1</formula>
    </cfRule>
    <cfRule type="cellIs" priority="14" operator="equal" dxfId="6">
      <formula>0</formula>
    </cfRule>
    <cfRule type="cellIs" priority="15" operator="lessThan" dxfId="5">
      <formula>1</formula>
    </cfRule>
    <cfRule type="cellIs" priority="16" operator="greaterThan" dxfId="4">
      <formula>1</formula>
    </cfRule>
  </conditionalFormatting>
  <conditionalFormatting sqref="D29">
    <cfRule type="cellIs" priority="9" operator="equal" dxfId="3">
      <formula>""</formula>
    </cfRule>
    <cfRule type="cellIs" priority="10" operator="equal" dxfId="2">
      <formula>0</formula>
    </cfRule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H28">
    <cfRule type="cellIs" priority="5" operator="equal" dxfId="7">
      <formula>1</formula>
    </cfRule>
    <cfRule type="cellIs" priority="6" operator="equal" dxfId="6">
      <formula>0</formula>
    </cfRule>
    <cfRule type="cellIs" priority="7" operator="lessThan" dxfId="5">
      <formula>1</formula>
    </cfRule>
    <cfRule type="cellIs" priority="8" operator="greaterThan" dxfId="4">
      <formula>1</formula>
    </cfRule>
  </conditionalFormatting>
  <conditionalFormatting sqref="H29">
    <cfRule type="cellIs" priority="1" operator="equal" dxfId="3">
      <formula>""</formula>
    </cfRule>
    <cfRule type="cellIs" priority="2" operator="equal" dxfId="2">
      <formula>0</formula>
    </cfRule>
    <cfRule type="cellIs" priority="3" operator="greaterThan" dxfId="1">
      <formula>0</formula>
    </cfRule>
    <cfRule type="cellIs" priority="4" operator="lessThan" dxfId="0">
      <formula>0</formula>
    </cfRule>
  </conditionalFormatting>
  <hyperlinks>
    <hyperlink xmlns:r="http://schemas.openxmlformats.org/officeDocument/2006/relationships" ref="F2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PABLO FERNANDEZ MONTES</dc:creator>
  <dcterms:created xmlns:dcterms="http://purl.org/dc/terms/" xmlns:xsi="http://www.w3.org/2001/XMLSchema-instance" xsi:type="dcterms:W3CDTF">2026-02-12T07:56:44Z</dcterms:created>
  <dcterms:modified xmlns:dcterms="http://purl.org/dc/terms/" xmlns:xsi="http://www.w3.org/2001/XMLSchema-instance" xsi:type="dcterms:W3CDTF">2026-05-13T16:35:25Z</dcterms:modified>
  <cp:lastModifiedBy>JAVIER PALLARÉS GONZÁLEZ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0x01010099E9797445E2EA4280A45CB90FD95CBD</vt:lpwstr>
  </property>
</Properties>
</file>
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elia\Downloads\"/>
    </mc:Choice>
  </mc:AlternateContent>
  <xr:revisionPtr revIDLastSave="0" documentId="8_{1A9DFA5F-5390-4DB8-88DB-546B89A97B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  <sheet name="Comentarios sobre #WP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9" i="1" s="1"/>
  <c r="G4" i="7"/>
  <c r="G20" i="7"/>
  <c r="E3" i="7"/>
  <c r="E4" i="7"/>
  <c r="E5" i="7"/>
  <c r="G5" i="7" s="1"/>
  <c r="E6" i="7"/>
  <c r="G6" i="7" s="1"/>
  <c r="E7" i="7"/>
  <c r="G7" i="7" s="1"/>
  <c r="E8" i="7"/>
  <c r="E9" i="7"/>
  <c r="G9" i="7" s="1"/>
  <c r="E10" i="7"/>
  <c r="E11" i="7"/>
  <c r="G11" i="7" s="1"/>
  <c r="E12" i="7"/>
  <c r="G12" i="7" s="1"/>
  <c r="E13" i="7"/>
  <c r="G13" i="7" s="1"/>
  <c r="E14" i="7"/>
  <c r="G14" i="7" s="1"/>
  <c r="E15" i="7"/>
  <c r="E16" i="7"/>
  <c r="G16" i="7" s="1"/>
  <c r="E17" i="7"/>
  <c r="G17" i="7" s="1"/>
  <c r="E18" i="7"/>
  <c r="G18" i="7" s="1"/>
  <c r="E19" i="7"/>
  <c r="E20" i="7"/>
  <c r="E21" i="7"/>
  <c r="E2" i="7"/>
  <c r="G2" i="7" s="1"/>
  <c r="G21" i="7"/>
  <c r="G19" i="7"/>
  <c r="G15" i="7"/>
  <c r="G10" i="7"/>
  <c r="G8" i="7"/>
  <c r="G3" i="7"/>
  <c r="E21" i="5"/>
  <c r="G21" i="5" s="1"/>
  <c r="E20" i="5"/>
  <c r="G20" i="5" s="1"/>
  <c r="E19" i="5"/>
  <c r="G19" i="5" s="1"/>
  <c r="E18" i="5"/>
  <c r="G18" i="5" s="1"/>
  <c r="E17" i="5"/>
  <c r="G17" i="5" s="1"/>
  <c r="E16" i="5"/>
  <c r="G16" i="5" s="1"/>
  <c r="E15" i="5"/>
  <c r="G15" i="5" s="1"/>
  <c r="E14" i="5"/>
  <c r="G14" i="5" s="1"/>
  <c r="E13" i="5"/>
  <c r="G13" i="5" s="1"/>
  <c r="E12" i="5"/>
  <c r="G12" i="5" s="1"/>
  <c r="E11" i="5"/>
  <c r="G11" i="5" s="1"/>
  <c r="E10" i="5"/>
  <c r="G10" i="5" s="1"/>
  <c r="H10" i="5" s="1"/>
  <c r="E9" i="5"/>
  <c r="G9" i="5" s="1"/>
  <c r="E8" i="5"/>
  <c r="G8" i="5" s="1"/>
  <c r="E7" i="5"/>
  <c r="G7" i="5" s="1"/>
  <c r="E6" i="5"/>
  <c r="G6" i="5" s="1"/>
  <c r="E5" i="5"/>
  <c r="G5" i="5" s="1"/>
  <c r="E4" i="5"/>
  <c r="G4" i="5" s="1"/>
  <c r="E3" i="5"/>
  <c r="G3" i="5" s="1"/>
  <c r="E2" i="5"/>
  <c r="G2" i="5" s="1"/>
  <c r="E21" i="4"/>
  <c r="G21" i="4" s="1"/>
  <c r="G20" i="4"/>
  <c r="E20" i="4"/>
  <c r="E19" i="4"/>
  <c r="G19" i="4" s="1"/>
  <c r="H19" i="4" s="1"/>
  <c r="E18" i="4"/>
  <c r="G18" i="4" s="1"/>
  <c r="E17" i="4"/>
  <c r="G17" i="4" s="1"/>
  <c r="G16" i="4"/>
  <c r="E16" i="4"/>
  <c r="E15" i="4"/>
  <c r="G15" i="4" s="1"/>
  <c r="E14" i="4"/>
  <c r="G14" i="4" s="1"/>
  <c r="E13" i="4"/>
  <c r="G13" i="4" s="1"/>
  <c r="G12" i="4"/>
  <c r="E12" i="4"/>
  <c r="E11" i="4"/>
  <c r="G11" i="4" s="1"/>
  <c r="E10" i="4"/>
  <c r="G10" i="4" s="1"/>
  <c r="E9" i="4"/>
  <c r="G9" i="4" s="1"/>
  <c r="G8" i="4"/>
  <c r="E8" i="4"/>
  <c r="E7" i="4"/>
  <c r="G7" i="4" s="1"/>
  <c r="E6" i="4"/>
  <c r="G6" i="4" s="1"/>
  <c r="E5" i="4"/>
  <c r="G5" i="4" s="1"/>
  <c r="G4" i="4"/>
  <c r="E4" i="4"/>
  <c r="E3" i="4"/>
  <c r="G3" i="4" s="1"/>
  <c r="E2" i="4"/>
  <c r="G2" i="4" s="1"/>
  <c r="G28" i="1"/>
  <c r="G29" i="1" s="1"/>
  <c r="F28" i="1"/>
  <c r="F29" i="1" s="1"/>
  <c r="E28" i="1"/>
  <c r="E29" i="1" s="1"/>
  <c r="D28" i="1"/>
  <c r="D29" i="1" s="1"/>
  <c r="C28" i="1"/>
  <c r="C29" i="1" s="1"/>
  <c r="G21" i="6"/>
  <c r="E21" i="6"/>
  <c r="E20" i="6"/>
  <c r="G20" i="6" s="1"/>
  <c r="E19" i="6"/>
  <c r="G19" i="6" s="1"/>
  <c r="E18" i="6"/>
  <c r="G18" i="6" s="1"/>
  <c r="G17" i="6"/>
  <c r="E17" i="6"/>
  <c r="E16" i="6"/>
  <c r="G16" i="6" s="1"/>
  <c r="E15" i="6"/>
  <c r="G15" i="6" s="1"/>
  <c r="E14" i="6"/>
  <c r="G14" i="6" s="1"/>
  <c r="G13" i="6"/>
  <c r="E13" i="6"/>
  <c r="E12" i="6"/>
  <c r="G12" i="6" s="1"/>
  <c r="E11" i="6"/>
  <c r="G11" i="6" s="1"/>
  <c r="E10" i="6"/>
  <c r="G10" i="6" s="1"/>
  <c r="G9" i="6"/>
  <c r="E9" i="6"/>
  <c r="E8" i="6"/>
  <c r="G8" i="6" s="1"/>
  <c r="E7" i="6"/>
  <c r="G7" i="6" s="1"/>
  <c r="E6" i="6"/>
  <c r="G6" i="6" s="1"/>
  <c r="G5" i="6"/>
  <c r="E5" i="6"/>
  <c r="E4" i="6"/>
  <c r="G4" i="6" s="1"/>
  <c r="E3" i="6"/>
  <c r="G3" i="6" s="1"/>
  <c r="E2" i="6"/>
  <c r="G2" i="6" s="1"/>
  <c r="H8" i="7" l="1"/>
  <c r="H20" i="7"/>
  <c r="H9" i="7"/>
  <c r="H21" i="7"/>
  <c r="H10" i="7"/>
  <c r="H11" i="7"/>
  <c r="H12" i="7"/>
  <c r="H13" i="7"/>
  <c r="H2" i="7"/>
  <c r="H14" i="7"/>
  <c r="H3" i="7"/>
  <c r="H15" i="7"/>
  <c r="H4" i="7"/>
  <c r="H16" i="7"/>
  <c r="H5" i="7"/>
  <c r="H17" i="7"/>
  <c r="H6" i="7"/>
  <c r="H18" i="7"/>
  <c r="H7" i="7"/>
  <c r="H19" i="7"/>
  <c r="H11" i="6"/>
  <c r="H10" i="4"/>
  <c r="H11" i="5"/>
  <c r="H12" i="5"/>
  <c r="H7" i="6"/>
  <c r="H4" i="4"/>
  <c r="H8" i="4"/>
  <c r="H16" i="4"/>
  <c r="H20" i="4"/>
  <c r="H12" i="4"/>
  <c r="H2" i="4"/>
  <c r="H21" i="4"/>
  <c r="H13" i="5"/>
  <c r="H9" i="4"/>
  <c r="H6" i="6"/>
  <c r="H16" i="6"/>
  <c r="H8" i="6"/>
  <c r="H17" i="6"/>
  <c r="H3" i="4"/>
  <c r="H2" i="5"/>
  <c r="H14" i="5"/>
  <c r="H5" i="6"/>
  <c r="H11" i="4"/>
  <c r="H18" i="6"/>
  <c r="H13" i="4"/>
  <c r="H3" i="5"/>
  <c r="H15" i="5"/>
  <c r="H19" i="6"/>
  <c r="H14" i="4"/>
  <c r="H4" i="5"/>
  <c r="H16" i="5"/>
  <c r="H20" i="6"/>
  <c r="H5" i="4"/>
  <c r="H15" i="4"/>
  <c r="H5" i="5"/>
  <c r="H17" i="5"/>
  <c r="H6" i="4"/>
  <c r="H6" i="5"/>
  <c r="H18" i="5"/>
  <c r="H9" i="6"/>
  <c r="H2" i="6"/>
  <c r="H21" i="6"/>
  <c r="H7" i="4"/>
  <c r="H7" i="5"/>
  <c r="H19" i="5"/>
  <c r="H17" i="4"/>
  <c r="H8" i="5"/>
  <c r="H20" i="5"/>
  <c r="H14" i="6"/>
  <c r="H15" i="6"/>
  <c r="H10" i="6"/>
  <c r="H12" i="6"/>
  <c r="H3" i="6"/>
  <c r="H4" i="6"/>
  <c r="H13" i="6"/>
  <c r="H18" i="4"/>
  <c r="H9" i="5"/>
  <c r="H21" i="5"/>
  <c r="H28" i="7" l="1"/>
  <c r="H29" i="7" s="1"/>
  <c r="H28" i="4"/>
  <c r="H29" i="4" s="1"/>
  <c r="H28" i="6"/>
  <c r="H29" i="6" s="1"/>
  <c r="H28" i="5"/>
  <c r="H29" i="5" s="1"/>
</calcChain>
</file>

<file path=xl/sharedStrings.xml><?xml version="1.0" encoding="utf-8"?>
<sst xmlns="http://schemas.openxmlformats.org/spreadsheetml/2006/main" count="273" uniqueCount="77">
  <si>
    <t>Comentarios sobre PPL</t>
  </si>
  <si>
    <t>Nombre</t>
  </si>
  <si>
    <t>Apellidos</t>
  </si>
  <si>
    <t>Horas Clockify</t>
  </si>
  <si>
    <t>Horas ponderadas</t>
  </si>
  <si>
    <t>Notas métricas individuales</t>
  </si>
  <si>
    <t>Notas total #PPL</t>
  </si>
  <si>
    <t>PPL</t>
  </si>
  <si>
    <t>Santia</t>
  </si>
  <si>
    <t>Bregu</t>
  </si>
  <si>
    <t>Pablo</t>
  </si>
  <si>
    <t>Arrabal Hermoso</t>
  </si>
  <si>
    <t>Manuel</t>
  </si>
  <si>
    <t>Zoilo Buzon Muñoz</t>
  </si>
  <si>
    <t>Chica Lopez</t>
  </si>
  <si>
    <t>Celia del Pilar</t>
  </si>
  <si>
    <t>Dorantes Ruiz</t>
  </si>
  <si>
    <t>Santiago</t>
  </si>
  <si>
    <t>Fernandez Roman</t>
  </si>
  <si>
    <t>Raquel</t>
  </si>
  <si>
    <t xml:space="preserve"> García Hortal</t>
  </si>
  <si>
    <t>Oscar</t>
  </si>
  <si>
    <t xml:space="preserve"> Gomez Gonzalez</t>
  </si>
  <si>
    <t xml:space="preserve"> Manuel</t>
  </si>
  <si>
    <t xml:space="preserve"> Lavado Corredera</t>
  </si>
  <si>
    <t>Guillermo</t>
  </si>
  <si>
    <t>Linares Borrego</t>
  </si>
  <si>
    <t xml:space="preserve"> Ana</t>
  </si>
  <si>
    <t>Martin Carrillo</t>
  </si>
  <si>
    <t xml:space="preserve"> Miguel</t>
  </si>
  <si>
    <t>Arturo Mir Ceballos</t>
  </si>
  <si>
    <t xml:space="preserve"> Roberto</t>
  </si>
  <si>
    <t>Muñoz Perez</t>
  </si>
  <si>
    <t xml:space="preserve"> Orta Perez</t>
  </si>
  <si>
    <t xml:space="preserve"> Javier</t>
  </si>
  <si>
    <t xml:space="preserve"> Pallarés González</t>
  </si>
  <si>
    <t xml:space="preserve"> Dario</t>
  </si>
  <si>
    <t xml:space="preserve"> Rodriguez Sastre</t>
  </si>
  <si>
    <t>Jose Maria</t>
  </si>
  <si>
    <t>Silva Guzman</t>
  </si>
  <si>
    <t>Sergio</t>
  </si>
  <si>
    <t xml:space="preserve"> Terrazas Lobato</t>
  </si>
  <si>
    <t>Zafra Ruiz</t>
  </si>
  <si>
    <t>Jose</t>
  </si>
  <si>
    <t>Egido Carnereo</t>
  </si>
  <si>
    <t>Horas mínimas #S3 (20 horas)</t>
  </si>
  <si>
    <t>Porcentaje Horas #S3</t>
  </si>
  <si>
    <t>Métricas individuales</t>
  </si>
  <si>
    <t>Media 50% entre métricas y clockify</t>
  </si>
  <si>
    <t xml:space="preserve">Numero de Miembros: </t>
  </si>
  <si>
    <t>(El formato de las horas el excel lo transforma a dias por eso se ve asi)</t>
  </si>
  <si>
    <t>Devising a project (#DP)</t>
  </si>
  <si>
    <t>Sprint 1 (#S1)</t>
  </si>
  <si>
    <t>Sprint 2 (#S2)</t>
  </si>
  <si>
    <t>Sprint 3 (#S3)</t>
  </si>
  <si>
    <t>Preparing project launch (#PPL)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</si>
  <si>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</si>
  <si>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</si>
  <si>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</si>
  <si>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</si>
  <si>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</si>
  <si>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</si>
  <si>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</si>
  <si>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</si>
  <si>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Manuel Chica Lopez se incorporó mas tarde en el grupo, por esto tiene menos horas en Clockify</t>
  </si>
  <si>
    <t>Comentarios sobre S2</t>
  </si>
  <si>
    <t>Notas total #S2</t>
  </si>
  <si>
    <t>Horas mínimas #S2 (30 horas)</t>
  </si>
  <si>
    <t>Porcentaje Horas #S2</t>
  </si>
  <si>
    <t>Comentarios sobre S3</t>
  </si>
  <si>
    <t>Notas total #S3</t>
  </si>
  <si>
    <t>Horas mínimas #WPL (10 horas)</t>
  </si>
  <si>
    <t>Comentarios sobre WPL</t>
  </si>
  <si>
    <t>Porcentaje Horas #WPL</t>
  </si>
  <si>
    <t>Notas total #WLP</t>
  </si>
  <si>
    <t>WPL</t>
  </si>
  <si>
    <t>Work project launch (#WPL)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</si>
</sst>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:ss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/>
      <top style="medium">
        <color rgb="FFCCCCCC"/>
      </top>
      <bottom/>
      <diagonal/>
    </border>
  </borders>
  <cellStyleXfs count="3">
    <xf numFmtId="0" fontId="0" fillId="0" borderId="0"/>
    <xf numFmtId="9" fontId="1" fillId="0" borderId="0"/>
    <xf numFmtId="0" fontId="8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0" fontId="8" fillId="0" borderId="0" xfId="2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2" fontId="2" fillId="0" borderId="1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46" fontId="9" fillId="0" borderId="0" xfId="0" applyNumberFormat="1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  <xf numFmtId="46" fontId="2" fillId="0" borderId="0" xfId="0" applyNumberFormat="1" applyFont="1" applyAlignment="1">
      <alignment horizontal="center" vertical="center"/>
    </xf>
    <xf numFmtId="21" fontId="9" fillId="0" borderId="0" xfId="0" applyNumberFormat="1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21" fontId="2" fillId="0" borderId="0" xfId="0" applyNumberFormat="1" applyFont="1" applyAlignment="1">
      <alignment horizontal="center" vertical="center" wrapText="1"/>
    </xf>
  </cellXfs>
  <cellStyles count="3">
    <cellStyle name="Hipervínculo" xfId="2" builtinId="8"/>
    <cellStyle name="Normal" xfId="0" builtinId="0"/>
    <cellStyle name="Porcentaje" xfId="1" builtinId="5"/>
  </cellStyles>
  <dxfs count="72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treetAsk-ISPP/ISPP-G10/blob/trunk/metrics/performance-metrics.md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treetAsk-ISPP/ISPP-G10/blob/trunk/metrics/performance-metrics.md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treetAsk-ISPP/ISPP-G10/blob/trunk/metrics/performance-metrics.m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treetAsk-ISPP/ISPP-G10/blob/trunk/metrics/performance-metrics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topLeftCell="A6" zoomScale="83" workbookViewId="0">
      <selection activeCell="G22" sqref="G22:G23"/>
    </sheetView>
  </sheetViews>
  <sheetFormatPr baseColWidth="10" defaultColWidth="11.44140625" defaultRowHeight="14.4" x14ac:dyDescent="0.3"/>
  <cols>
    <col min="1" max="1" width="16.33203125" customWidth="1"/>
    <col min="2" max="2" width="38.33203125" customWidth="1"/>
    <col min="3" max="7" width="10.6640625" style="2" customWidth="1"/>
  </cols>
  <sheetData>
    <row r="1" spans="1:8" s="5" customFormat="1" ht="48.6" customHeight="1" thickBot="1" x14ac:dyDescent="0.35">
      <c r="A1" s="4" t="s">
        <v>1</v>
      </c>
      <c r="B1" s="4" t="s">
        <v>2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76</v>
      </c>
    </row>
    <row r="2" spans="1:8" ht="15" customHeight="1" thickBot="1" x14ac:dyDescent="0.35">
      <c r="A2" s="1" t="s">
        <v>8</v>
      </c>
      <c r="B2" s="1" t="s">
        <v>9</v>
      </c>
      <c r="C2" s="3">
        <v>1.2</v>
      </c>
      <c r="D2" s="3">
        <v>1.05</v>
      </c>
      <c r="E2" s="3">
        <v>1.0900000000000001</v>
      </c>
      <c r="F2" s="3">
        <v>1.4248733019863711</v>
      </c>
      <c r="G2" s="3">
        <v>1.28</v>
      </c>
      <c r="H2" s="3">
        <v>1.28</v>
      </c>
    </row>
    <row r="3" spans="1:8" ht="15" customHeight="1" thickBot="1" x14ac:dyDescent="0.35">
      <c r="A3" s="1" t="s">
        <v>10</v>
      </c>
      <c r="B3" s="1" t="s">
        <v>11</v>
      </c>
      <c r="C3" s="3">
        <v>1</v>
      </c>
      <c r="D3" s="3">
        <v>1</v>
      </c>
      <c r="E3" s="3">
        <v>0.84</v>
      </c>
      <c r="F3" s="3">
        <v>0.99243524259961902</v>
      </c>
      <c r="G3" s="3">
        <v>1</v>
      </c>
      <c r="H3" s="3">
        <v>1</v>
      </c>
    </row>
    <row r="4" spans="1:8" ht="15" customHeight="1" thickBot="1" x14ac:dyDescent="0.35">
      <c r="A4" s="1" t="s">
        <v>12</v>
      </c>
      <c r="B4" s="1" t="s">
        <v>13</v>
      </c>
      <c r="C4" s="3">
        <v>1</v>
      </c>
      <c r="D4" s="3">
        <v>1.05</v>
      </c>
      <c r="E4" s="3">
        <v>1.1100000000000001</v>
      </c>
      <c r="F4" s="3">
        <v>1.2609408834454821</v>
      </c>
      <c r="G4" s="3">
        <v>1.3</v>
      </c>
      <c r="H4" s="3">
        <v>1.2</v>
      </c>
    </row>
    <row r="5" spans="1:8" ht="15" customHeight="1" thickBot="1" x14ac:dyDescent="0.35">
      <c r="A5" s="1" t="s">
        <v>12</v>
      </c>
      <c r="B5" s="1" t="s">
        <v>14</v>
      </c>
      <c r="C5" s="3">
        <v>0.8</v>
      </c>
      <c r="D5" s="3">
        <v>0.9</v>
      </c>
      <c r="E5" s="3">
        <v>0.79</v>
      </c>
      <c r="F5" s="3">
        <v>0.69048790886468936</v>
      </c>
      <c r="G5" s="3">
        <v>0.7</v>
      </c>
      <c r="H5" s="3">
        <v>0.9</v>
      </c>
    </row>
    <row r="6" spans="1:8" ht="15" thickBot="1" x14ac:dyDescent="0.35">
      <c r="A6" s="1" t="s">
        <v>15</v>
      </c>
      <c r="B6" s="1" t="s">
        <v>16</v>
      </c>
      <c r="C6" s="3">
        <v>1</v>
      </c>
      <c r="D6" s="3">
        <v>1</v>
      </c>
      <c r="E6" s="3">
        <v>1.1000000000000001</v>
      </c>
      <c r="F6" s="3">
        <v>1.074872192111006</v>
      </c>
      <c r="G6" s="3">
        <v>1</v>
      </c>
      <c r="H6" s="3">
        <v>1</v>
      </c>
    </row>
    <row r="7" spans="1:8" ht="15" customHeight="1" thickBot="1" x14ac:dyDescent="0.35">
      <c r="A7" s="1" t="s">
        <v>17</v>
      </c>
      <c r="B7" s="1" t="s">
        <v>18</v>
      </c>
      <c r="C7" s="3">
        <v>1</v>
      </c>
      <c r="D7" s="3">
        <v>1</v>
      </c>
      <c r="E7" s="3">
        <v>0.89</v>
      </c>
      <c r="F7" s="3">
        <v>1.0495057992901391</v>
      </c>
      <c r="G7" s="3">
        <v>1</v>
      </c>
      <c r="H7" s="3">
        <v>1</v>
      </c>
    </row>
    <row r="8" spans="1:8" ht="15" customHeight="1" thickBot="1" x14ac:dyDescent="0.35">
      <c r="A8" s="1" t="s">
        <v>19</v>
      </c>
      <c r="B8" s="1" t="s">
        <v>20</v>
      </c>
      <c r="C8" s="3">
        <v>1</v>
      </c>
      <c r="D8" s="3">
        <v>1</v>
      </c>
      <c r="E8" s="3">
        <v>1.0900000000000001</v>
      </c>
      <c r="F8" s="3">
        <v>1.111865486167509</v>
      </c>
      <c r="G8" s="3">
        <v>1</v>
      </c>
      <c r="H8" s="3">
        <v>1</v>
      </c>
    </row>
    <row r="9" spans="1:8" ht="15" customHeight="1" thickBot="1" x14ac:dyDescent="0.35">
      <c r="A9" s="1" t="s">
        <v>21</v>
      </c>
      <c r="B9" s="1" t="s">
        <v>22</v>
      </c>
      <c r="C9" s="3">
        <v>1</v>
      </c>
      <c r="D9" s="3">
        <v>1</v>
      </c>
      <c r="E9" s="3">
        <v>0.84</v>
      </c>
      <c r="F9" s="3">
        <v>0.89149781890355018</v>
      </c>
      <c r="G9" s="3">
        <v>1</v>
      </c>
      <c r="H9" s="3">
        <v>1</v>
      </c>
    </row>
    <row r="10" spans="1:8" ht="15" customHeight="1" thickBot="1" x14ac:dyDescent="0.35">
      <c r="A10" s="1" t="s">
        <v>23</v>
      </c>
      <c r="B10" s="1" t="s">
        <v>24</v>
      </c>
      <c r="C10" s="3">
        <v>1</v>
      </c>
      <c r="D10" s="3">
        <v>1</v>
      </c>
      <c r="E10" s="3">
        <v>1.18</v>
      </c>
      <c r="F10" s="3">
        <v>0.92540642487712899</v>
      </c>
      <c r="G10" s="3">
        <v>1</v>
      </c>
      <c r="H10" s="3">
        <v>1</v>
      </c>
    </row>
    <row r="11" spans="1:8" ht="15" customHeight="1" thickBot="1" x14ac:dyDescent="0.35">
      <c r="A11" s="1" t="s">
        <v>25</v>
      </c>
      <c r="B11" s="1" t="s">
        <v>26</v>
      </c>
      <c r="C11" s="3">
        <v>1</v>
      </c>
      <c r="D11" s="3">
        <v>1.03</v>
      </c>
      <c r="E11" s="3">
        <v>1.22</v>
      </c>
      <c r="F11" s="3">
        <v>1.0480897514108809</v>
      </c>
      <c r="G11" s="3">
        <v>1.1200000000000001</v>
      </c>
      <c r="H11" s="3">
        <v>1.1200000000000001</v>
      </c>
    </row>
    <row r="12" spans="1:8" ht="15" customHeight="1" thickBot="1" x14ac:dyDescent="0.35">
      <c r="A12" s="1" t="s">
        <v>27</v>
      </c>
      <c r="B12" s="1" t="s">
        <v>28</v>
      </c>
      <c r="C12" s="3">
        <v>1</v>
      </c>
      <c r="D12" s="3">
        <v>1</v>
      </c>
      <c r="E12" s="3">
        <v>1</v>
      </c>
      <c r="F12" s="3">
        <v>0.85917365569216797</v>
      </c>
      <c r="G12" s="3">
        <v>0.7</v>
      </c>
      <c r="H12" s="3">
        <v>0.7</v>
      </c>
    </row>
    <row r="13" spans="1:8" ht="15" customHeight="1" thickBot="1" x14ac:dyDescent="0.35">
      <c r="A13" s="1" t="s">
        <v>29</v>
      </c>
      <c r="B13" s="1" t="s">
        <v>30</v>
      </c>
      <c r="C13" s="3">
        <v>1</v>
      </c>
      <c r="D13" s="3">
        <v>0.95</v>
      </c>
      <c r="E13" s="3">
        <v>0.6</v>
      </c>
      <c r="F13" s="3">
        <v>0.85422131527119616</v>
      </c>
      <c r="G13" s="3">
        <v>1</v>
      </c>
      <c r="H13" s="3">
        <v>1</v>
      </c>
    </row>
    <row r="14" spans="1:8" ht="15" customHeight="1" thickBot="1" x14ac:dyDescent="0.35">
      <c r="A14" s="1" t="s">
        <v>31</v>
      </c>
      <c r="B14" s="1" t="s">
        <v>32</v>
      </c>
      <c r="C14" s="3">
        <v>1</v>
      </c>
      <c r="D14" s="3">
        <v>1</v>
      </c>
      <c r="E14" s="3">
        <v>0.81</v>
      </c>
      <c r="F14" s="3">
        <v>1.0616531938003131</v>
      </c>
      <c r="G14" s="3">
        <v>1</v>
      </c>
      <c r="H14" s="3">
        <v>1</v>
      </c>
    </row>
    <row r="15" spans="1:8" ht="15" customHeight="1" thickBot="1" x14ac:dyDescent="0.35">
      <c r="A15" s="1" t="s">
        <v>12</v>
      </c>
      <c r="B15" s="1" t="s">
        <v>33</v>
      </c>
      <c r="C15" s="3">
        <v>1</v>
      </c>
      <c r="D15" s="3">
        <v>1</v>
      </c>
      <c r="E15" s="3">
        <v>0.95</v>
      </c>
      <c r="F15" s="3">
        <v>1.105259814168593</v>
      </c>
      <c r="G15" s="3">
        <v>1</v>
      </c>
      <c r="H15" s="3">
        <v>1</v>
      </c>
    </row>
    <row r="16" spans="1:8" ht="15" customHeight="1" thickBot="1" x14ac:dyDescent="0.35">
      <c r="A16" s="1" t="s">
        <v>34</v>
      </c>
      <c r="B16" s="1" t="s">
        <v>35</v>
      </c>
      <c r="C16" s="3">
        <v>1</v>
      </c>
      <c r="D16" s="3">
        <v>1.02</v>
      </c>
      <c r="E16" s="3">
        <v>1.1599999999999999</v>
      </c>
      <c r="F16" s="3">
        <v>0.96393823581866334</v>
      </c>
      <c r="G16" s="3">
        <v>1</v>
      </c>
      <c r="H16" s="3">
        <v>1</v>
      </c>
    </row>
    <row r="17" spans="1:8" ht="15" customHeight="1" thickBot="1" x14ac:dyDescent="0.35">
      <c r="A17" s="1" t="s">
        <v>36</v>
      </c>
      <c r="B17" s="1" t="s">
        <v>37</v>
      </c>
      <c r="C17" s="3">
        <v>1</v>
      </c>
      <c r="D17" s="3">
        <v>1</v>
      </c>
      <c r="E17" s="3">
        <v>0.94</v>
      </c>
      <c r="F17" s="3">
        <v>0.94822393151533213</v>
      </c>
      <c r="G17" s="3">
        <v>1</v>
      </c>
      <c r="H17" s="3">
        <v>1</v>
      </c>
    </row>
    <row r="18" spans="1:8" ht="15" customHeight="1" thickBot="1" x14ac:dyDescent="0.35">
      <c r="A18" s="1" t="s">
        <v>38</v>
      </c>
      <c r="B18" s="1" t="s">
        <v>39</v>
      </c>
      <c r="C18" s="3">
        <v>1</v>
      </c>
      <c r="D18" s="3">
        <v>1</v>
      </c>
      <c r="E18" s="3">
        <v>1.03</v>
      </c>
      <c r="F18" s="3">
        <v>1.073823551249069</v>
      </c>
      <c r="G18" s="3">
        <v>1</v>
      </c>
      <c r="H18" s="3">
        <v>1</v>
      </c>
    </row>
    <row r="19" spans="1:8" ht="15" customHeight="1" thickBot="1" x14ac:dyDescent="0.35">
      <c r="A19" s="1" t="s">
        <v>40</v>
      </c>
      <c r="B19" s="1" t="s">
        <v>41</v>
      </c>
      <c r="C19" s="3">
        <v>1</v>
      </c>
      <c r="D19" s="3">
        <v>1</v>
      </c>
      <c r="E19" s="3">
        <v>1.1499999999999999</v>
      </c>
      <c r="F19" s="3">
        <v>0.94148048188492062</v>
      </c>
      <c r="G19" s="3">
        <v>0.9</v>
      </c>
      <c r="H19" s="3">
        <v>0.9</v>
      </c>
    </row>
    <row r="20" spans="1:8" ht="15" customHeight="1" thickBot="1" x14ac:dyDescent="0.35">
      <c r="A20" s="1" t="s">
        <v>36</v>
      </c>
      <c r="B20" s="1" t="s">
        <v>42</v>
      </c>
      <c r="C20" s="3">
        <v>1</v>
      </c>
      <c r="D20" s="3">
        <v>1</v>
      </c>
      <c r="E20" s="3">
        <v>1.0900000000000001</v>
      </c>
      <c r="F20" s="3">
        <v>1.0014060972725389</v>
      </c>
      <c r="G20" s="3">
        <v>1</v>
      </c>
      <c r="H20" s="3">
        <v>1</v>
      </c>
    </row>
    <row r="21" spans="1:8" ht="15" customHeight="1" thickBot="1" x14ac:dyDescent="0.35">
      <c r="A21" s="1" t="s">
        <v>43</v>
      </c>
      <c r="B21" s="1" t="s">
        <v>44</v>
      </c>
      <c r="C21" s="3">
        <v>1</v>
      </c>
      <c r="D21" s="3">
        <v>1</v>
      </c>
      <c r="E21" s="3">
        <v>1.1200000000000001</v>
      </c>
      <c r="F21" s="3">
        <v>0.72084491367083237</v>
      </c>
      <c r="G21" s="3">
        <v>1</v>
      </c>
      <c r="H21" s="3">
        <v>0.9</v>
      </c>
    </row>
    <row r="22" spans="1:8" ht="15" customHeight="1" thickBot="1" x14ac:dyDescent="0.35">
      <c r="A22" s="1"/>
      <c r="B22" s="1"/>
      <c r="C22" s="3"/>
      <c r="D22" s="3"/>
      <c r="E22" s="3"/>
      <c r="F22" s="3"/>
      <c r="G22" s="3"/>
    </row>
    <row r="23" spans="1:8" ht="15" customHeight="1" thickBot="1" x14ac:dyDescent="0.35">
      <c r="A23" s="1"/>
      <c r="B23" s="1"/>
      <c r="C23" s="3"/>
      <c r="D23" s="3"/>
      <c r="E23" s="3"/>
      <c r="F23" s="3"/>
      <c r="G23" s="3"/>
    </row>
    <row r="24" spans="1:8" ht="15" customHeight="1" thickBot="1" x14ac:dyDescent="0.35">
      <c r="A24" s="1"/>
      <c r="B24" s="1"/>
      <c r="C24" s="3"/>
      <c r="D24" s="3"/>
      <c r="E24" s="3"/>
      <c r="F24" s="3"/>
      <c r="G24" s="3"/>
    </row>
    <row r="25" spans="1:8" ht="15" customHeight="1" thickBot="1" x14ac:dyDescent="0.35">
      <c r="A25" s="1"/>
      <c r="B25" s="1"/>
      <c r="C25" s="3"/>
      <c r="D25" s="3"/>
      <c r="E25" s="3"/>
      <c r="F25" s="3"/>
      <c r="G25" s="3"/>
    </row>
    <row r="27" spans="1:8" ht="28.8" customHeight="1" x14ac:dyDescent="0.3">
      <c r="A27" s="8" t="s">
        <v>56</v>
      </c>
      <c r="B27" s="2">
        <v>20</v>
      </c>
    </row>
    <row r="28" spans="1:8" x14ac:dyDescent="0.3">
      <c r="A28" t="s">
        <v>57</v>
      </c>
      <c r="C28" s="6">
        <f>SUM(C2:C25)/$B$27</f>
        <v>1</v>
      </c>
      <c r="D28" s="6">
        <f>SUM(D2:D25)/$B$27</f>
        <v>1</v>
      </c>
      <c r="E28" s="6">
        <f>SUM(E2:E25)/$B$27</f>
        <v>1</v>
      </c>
      <c r="F28" s="6">
        <f>SUM(F2:F25)/$B$27</f>
        <v>1</v>
      </c>
      <c r="G28" s="6">
        <f>SUM(G2:G25)/$B$27</f>
        <v>1</v>
      </c>
      <c r="H28" s="6">
        <f>SUM(H2:H25)/$B$27</f>
        <v>0.99999999999999978</v>
      </c>
    </row>
    <row r="29" spans="1:8" x14ac:dyDescent="0.3">
      <c r="A29" t="s">
        <v>58</v>
      </c>
      <c r="C29" s="7">
        <f>1-C28</f>
        <v>0</v>
      </c>
      <c r="D29" s="7">
        <f>1-D28</f>
        <v>0</v>
      </c>
      <c r="E29" s="7">
        <f>1-E28</f>
        <v>0</v>
      </c>
      <c r="F29" s="7">
        <f>1-F28</f>
        <v>0</v>
      </c>
      <c r="G29" s="7">
        <f>1-G28</f>
        <v>0</v>
      </c>
      <c r="H29" s="7">
        <f>1-H28</f>
        <v>0</v>
      </c>
    </row>
    <row r="32" spans="1:8" x14ac:dyDescent="0.3">
      <c r="A32" s="10" t="s">
        <v>59</v>
      </c>
      <c r="B32" t="s">
        <v>60</v>
      </c>
    </row>
    <row r="33" spans="2:7" x14ac:dyDescent="0.3">
      <c r="B33" s="28" t="s">
        <v>61</v>
      </c>
      <c r="C33" s="29"/>
      <c r="D33" s="29"/>
      <c r="E33" s="29"/>
      <c r="F33" s="29"/>
      <c r="G33" s="29"/>
    </row>
    <row r="34" spans="2:7" ht="79.5" customHeight="1" x14ac:dyDescent="0.3">
      <c r="B34" s="28" t="s">
        <v>62</v>
      </c>
      <c r="C34" s="29"/>
      <c r="D34" s="29"/>
      <c r="E34" s="29"/>
      <c r="F34" s="29"/>
      <c r="G34" s="29"/>
    </row>
    <row r="35" spans="2:7" ht="47.25" customHeight="1" x14ac:dyDescent="0.3">
      <c r="B35" s="28" t="s">
        <v>63</v>
      </c>
      <c r="C35" s="29"/>
      <c r="D35" s="29"/>
      <c r="E35" s="29"/>
      <c r="F35" s="29"/>
      <c r="G35" s="29"/>
    </row>
    <row r="36" spans="2:7" ht="44.25" customHeight="1" x14ac:dyDescent="0.3"/>
    <row r="38" spans="2:7" ht="15.6" customHeight="1" x14ac:dyDescent="0.3">
      <c r="D38" s="9"/>
    </row>
  </sheetData>
  <mergeCells count="3">
    <mergeCell ref="B35:G35"/>
    <mergeCell ref="B34:G34"/>
    <mergeCell ref="B33:G33"/>
  </mergeCells>
  <conditionalFormatting sqref="C28:H28">
    <cfRule type="cellIs" dxfId="71" priority="5" operator="equal">
      <formula>1</formula>
    </cfRule>
    <cfRule type="cellIs" dxfId="70" priority="6" operator="equal">
      <formula>0</formula>
    </cfRule>
    <cfRule type="cellIs" dxfId="69" priority="7" operator="lessThan">
      <formula>1</formula>
    </cfRule>
    <cfRule type="cellIs" dxfId="68" priority="8" operator="greaterThan">
      <formula>1</formula>
    </cfRule>
  </conditionalFormatting>
  <conditionalFormatting sqref="C29:H29">
    <cfRule type="cellIs" dxfId="67" priority="1" operator="equal">
      <formula>""</formula>
    </cfRule>
    <cfRule type="cellIs" dxfId="66" priority="2" operator="equal">
      <formula>0</formula>
    </cfRule>
    <cfRule type="cellIs" dxfId="65" priority="3" operator="greaterThan">
      <formula>0</formula>
    </cfRule>
    <cfRule type="cellIs" dxfId="64" priority="4" operator="lessThan">
      <formula>0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sqref="A1:C1"/>
    </sheetView>
  </sheetViews>
  <sheetFormatPr baseColWidth="10" defaultColWidth="11.44140625" defaultRowHeight="14.4" x14ac:dyDescent="0.3"/>
  <sheetData>
    <row r="1" spans="1:5" ht="101.7" customHeight="1" x14ac:dyDescent="0.3">
      <c r="A1" s="30" t="s">
        <v>64</v>
      </c>
      <c r="B1" s="27"/>
      <c r="C1" s="27"/>
    </row>
    <row r="3" spans="1:5" x14ac:dyDescent="0.3">
      <c r="E3" s="11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75"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2"/>
  <sheetViews>
    <sheetView topLeftCell="AP1" zoomScale="73" zoomScaleNormal="90" workbookViewId="0">
      <selection activeCell="D27" sqref="D27"/>
    </sheetView>
  </sheetViews>
  <sheetFormatPr baseColWidth="10" defaultColWidth="11.44140625" defaultRowHeight="14.4" x14ac:dyDescent="0.3"/>
  <cols>
    <col min="1" max="1" width="22.44140625" customWidth="1"/>
    <col min="2" max="2" width="20.5546875" customWidth="1"/>
    <col min="3" max="3" width="22.5546875" customWidth="1"/>
    <col min="4" max="4" width="27" customWidth="1"/>
    <col min="5" max="5" width="25.88671875" customWidth="1"/>
    <col min="6" max="6" width="31" customWidth="1"/>
    <col min="7" max="7" width="30.6640625" customWidth="1"/>
    <col min="8" max="8" width="15.109375" customWidth="1"/>
  </cols>
  <sheetData>
    <row r="1" spans="1:12" ht="15" customHeight="1" thickBot="1" x14ac:dyDescent="0.35">
      <c r="A1" s="12" t="s">
        <v>65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66</v>
      </c>
      <c r="H1" s="4" t="s">
        <v>53</v>
      </c>
    </row>
    <row r="2" spans="1:12" ht="15" customHeight="1" thickBot="1" x14ac:dyDescent="0.35">
      <c r="B2" s="13" t="s">
        <v>8</v>
      </c>
      <c r="C2" s="13" t="s">
        <v>9</v>
      </c>
      <c r="D2" s="16">
        <v>1.299872685185185</v>
      </c>
      <c r="E2" s="17">
        <f t="shared" ref="E2:E21" si="0">(D2*24) / 30</f>
        <v>1.039898148148148</v>
      </c>
      <c r="F2" s="20">
        <v>7.5</v>
      </c>
      <c r="G2" s="20">
        <f t="shared" ref="G2:G21" si="1">((E2*10)+F2)/2</f>
        <v>8.9494907407407389</v>
      </c>
      <c r="H2" s="3">
        <f t="shared" ref="H2:H21" si="2">G2 / AVERAGE($G$2:$G$21)</f>
        <v>1.0878984390256528</v>
      </c>
    </row>
    <row r="3" spans="1:12" ht="15" customHeight="1" thickBot="1" x14ac:dyDescent="0.35">
      <c r="B3" s="13" t="s">
        <v>10</v>
      </c>
      <c r="C3" s="13" t="s">
        <v>11</v>
      </c>
      <c r="D3" s="16">
        <v>0.98466435185185186</v>
      </c>
      <c r="E3" s="17">
        <f t="shared" si="0"/>
        <v>0.78773148148148142</v>
      </c>
      <c r="F3" s="20">
        <v>6</v>
      </c>
      <c r="G3" s="20">
        <f t="shared" si="1"/>
        <v>6.9386574074074066</v>
      </c>
      <c r="H3" s="3">
        <f t="shared" si="2"/>
        <v>0.84346191097656975</v>
      </c>
    </row>
    <row r="4" spans="1:12" ht="15" customHeight="1" thickBot="1" x14ac:dyDescent="0.35">
      <c r="B4" s="13" t="s">
        <v>12</v>
      </c>
      <c r="C4" s="13" t="s">
        <v>13</v>
      </c>
      <c r="D4" s="16">
        <v>1.351238425925926</v>
      </c>
      <c r="E4" s="17">
        <f t="shared" si="0"/>
        <v>1.0809907407407409</v>
      </c>
      <c r="F4" s="20">
        <v>7.5</v>
      </c>
      <c r="G4" s="20">
        <f t="shared" si="1"/>
        <v>9.1549537037037041</v>
      </c>
      <c r="H4" s="3">
        <f t="shared" si="2"/>
        <v>1.1128744787982237</v>
      </c>
    </row>
    <row r="5" spans="1:12" ht="15" customHeight="1" thickBot="1" x14ac:dyDescent="0.35">
      <c r="B5" s="13" t="s">
        <v>12</v>
      </c>
      <c r="C5" s="13" t="s">
        <v>14</v>
      </c>
      <c r="D5" s="16">
        <v>0.6287962962962963</v>
      </c>
      <c r="E5" s="17">
        <f t="shared" si="0"/>
        <v>0.50303703703703706</v>
      </c>
      <c r="F5" s="20">
        <v>8</v>
      </c>
      <c r="G5" s="20">
        <f t="shared" si="1"/>
        <v>6.5151851851851852</v>
      </c>
      <c r="H5" s="3">
        <f t="shared" si="2"/>
        <v>0.79198470597438342</v>
      </c>
    </row>
    <row r="6" spans="1:12" ht="15" customHeight="1" thickBot="1" x14ac:dyDescent="0.35">
      <c r="B6" s="13" t="s">
        <v>15</v>
      </c>
      <c r="C6" s="13" t="s">
        <v>16</v>
      </c>
      <c r="D6" s="16">
        <v>1.255798611111111</v>
      </c>
      <c r="E6" s="17">
        <f t="shared" si="0"/>
        <v>1.0046388888888889</v>
      </c>
      <c r="F6" s="20">
        <v>8</v>
      </c>
      <c r="G6" s="20">
        <f t="shared" si="1"/>
        <v>9.0231944444444441</v>
      </c>
      <c r="H6" s="3">
        <f t="shared" si="2"/>
        <v>1.0968578476146418</v>
      </c>
    </row>
    <row r="7" spans="1:12" ht="15" customHeight="1" thickBot="1" x14ac:dyDescent="0.35">
      <c r="B7" s="13" t="s">
        <v>17</v>
      </c>
      <c r="C7" s="13" t="s">
        <v>18</v>
      </c>
      <c r="D7" s="16">
        <v>1.0743171296296301</v>
      </c>
      <c r="E7" s="17">
        <f t="shared" si="0"/>
        <v>0.859453703703704</v>
      </c>
      <c r="F7" s="20">
        <v>6</v>
      </c>
      <c r="G7" s="20">
        <f t="shared" si="1"/>
        <v>7.2972685185185195</v>
      </c>
      <c r="H7" s="3">
        <f t="shared" si="2"/>
        <v>0.88705461130967767</v>
      </c>
      <c r="L7" s="18"/>
    </row>
    <row r="8" spans="1:12" ht="15" customHeight="1" thickBot="1" x14ac:dyDescent="0.35">
      <c r="B8" s="13" t="s">
        <v>19</v>
      </c>
      <c r="C8" s="13" t="s">
        <v>20</v>
      </c>
      <c r="D8" s="16">
        <v>1.24125</v>
      </c>
      <c r="E8" s="17">
        <f t="shared" si="0"/>
        <v>0.99299999999999999</v>
      </c>
      <c r="F8" s="20">
        <v>8</v>
      </c>
      <c r="G8" s="20">
        <f t="shared" si="1"/>
        <v>8.9649999999999999</v>
      </c>
      <c r="H8" s="3">
        <f t="shared" si="2"/>
        <v>1.0897837417124063</v>
      </c>
    </row>
    <row r="9" spans="1:12" ht="15" customHeight="1" thickBot="1" x14ac:dyDescent="0.35">
      <c r="B9" s="13" t="s">
        <v>21</v>
      </c>
      <c r="C9" s="13" t="s">
        <v>22</v>
      </c>
      <c r="D9" s="16">
        <v>0.97932870370370373</v>
      </c>
      <c r="E9" s="17">
        <f t="shared" si="0"/>
        <v>0.78346296296296292</v>
      </c>
      <c r="F9" s="20">
        <v>6</v>
      </c>
      <c r="G9" s="20">
        <f t="shared" si="1"/>
        <v>6.917314814814814</v>
      </c>
      <c r="H9" s="3">
        <f t="shared" si="2"/>
        <v>0.84086750936882859</v>
      </c>
    </row>
    <row r="10" spans="1:12" ht="15" customHeight="1" thickBot="1" x14ac:dyDescent="0.35">
      <c r="B10" s="13" t="s">
        <v>23</v>
      </c>
      <c r="C10" s="13" t="s">
        <v>24</v>
      </c>
      <c r="D10" s="16">
        <v>1.1736111111111109</v>
      </c>
      <c r="E10" s="17">
        <f t="shared" si="0"/>
        <v>0.93888888888888877</v>
      </c>
      <c r="F10" s="20">
        <v>10</v>
      </c>
      <c r="G10" s="20">
        <f t="shared" si="1"/>
        <v>9.6944444444444429</v>
      </c>
      <c r="H10" s="3">
        <f t="shared" si="2"/>
        <v>1.1784548734511673</v>
      </c>
    </row>
    <row r="11" spans="1:12" ht="15" customHeight="1" thickBot="1" x14ac:dyDescent="0.35">
      <c r="B11" s="13" t="s">
        <v>25</v>
      </c>
      <c r="C11" s="13" t="s">
        <v>26</v>
      </c>
      <c r="D11" s="16">
        <v>1.2672569444444439</v>
      </c>
      <c r="E11" s="17">
        <f t="shared" si="0"/>
        <v>1.0138055555555552</v>
      </c>
      <c r="F11" s="20">
        <v>10</v>
      </c>
      <c r="G11" s="20">
        <f t="shared" si="1"/>
        <v>10.069027777777777</v>
      </c>
      <c r="H11" s="3">
        <f t="shared" si="2"/>
        <v>1.2239891541631702</v>
      </c>
    </row>
    <row r="12" spans="1:12" ht="15" customHeight="1" thickBot="1" x14ac:dyDescent="0.35">
      <c r="B12" s="13" t="s">
        <v>27</v>
      </c>
      <c r="C12" s="13" t="s">
        <v>28</v>
      </c>
      <c r="D12" s="16">
        <v>1.305555555555556</v>
      </c>
      <c r="E12" s="17">
        <f t="shared" si="0"/>
        <v>1.0444444444444447</v>
      </c>
      <c r="F12" s="20">
        <v>6</v>
      </c>
      <c r="G12" s="20">
        <f t="shared" si="1"/>
        <v>8.2222222222222232</v>
      </c>
      <c r="H12" s="3">
        <f t="shared" si="2"/>
        <v>0.99949181243995877</v>
      </c>
    </row>
    <row r="13" spans="1:12" ht="15" customHeight="1" thickBot="1" x14ac:dyDescent="0.35">
      <c r="B13" s="13" t="s">
        <v>29</v>
      </c>
      <c r="C13" s="13" t="s">
        <v>30</v>
      </c>
      <c r="D13" s="16">
        <v>0.6166666666666667</v>
      </c>
      <c r="E13" s="17">
        <f t="shared" si="0"/>
        <v>0.49333333333333335</v>
      </c>
      <c r="F13" s="20">
        <v>5</v>
      </c>
      <c r="G13" s="20">
        <f t="shared" si="1"/>
        <v>4.9666666666666668</v>
      </c>
      <c r="H13" s="3">
        <f t="shared" si="2"/>
        <v>0.60374708129819121</v>
      </c>
    </row>
    <row r="14" spans="1:12" ht="15" customHeight="1" thickBot="1" x14ac:dyDescent="0.35">
      <c r="B14" s="13" t="s">
        <v>31</v>
      </c>
      <c r="C14" s="13" t="s">
        <v>32</v>
      </c>
      <c r="D14" s="16">
        <v>0.92246527777777776</v>
      </c>
      <c r="E14" s="17">
        <f t="shared" si="0"/>
        <v>0.73797222222222225</v>
      </c>
      <c r="F14" s="20">
        <v>6</v>
      </c>
      <c r="G14" s="20">
        <f t="shared" si="1"/>
        <v>6.689861111111111</v>
      </c>
      <c r="H14" s="3">
        <f t="shared" si="2"/>
        <v>0.81321827921951839</v>
      </c>
      <c r="L14" s="19"/>
    </row>
    <row r="15" spans="1:12" ht="15" customHeight="1" thickBot="1" x14ac:dyDescent="0.35">
      <c r="B15" s="13" t="s">
        <v>12</v>
      </c>
      <c r="C15" s="13" t="s">
        <v>33</v>
      </c>
      <c r="D15" s="16">
        <v>1.206400462962963</v>
      </c>
      <c r="E15" s="17">
        <f t="shared" si="0"/>
        <v>0.96512037037037035</v>
      </c>
      <c r="F15" s="20">
        <v>6</v>
      </c>
      <c r="G15" s="20">
        <f t="shared" si="1"/>
        <v>7.825601851851852</v>
      </c>
      <c r="H15" s="3">
        <f t="shared" si="2"/>
        <v>0.95127871358200189</v>
      </c>
    </row>
    <row r="16" spans="1:12" ht="15" customHeight="1" thickBot="1" x14ac:dyDescent="0.35">
      <c r="B16" s="13" t="s">
        <v>34</v>
      </c>
      <c r="C16" s="13" t="s">
        <v>35</v>
      </c>
      <c r="D16" s="16">
        <v>1.203715277777778</v>
      </c>
      <c r="E16" s="17">
        <f t="shared" si="0"/>
        <v>0.96297222222222234</v>
      </c>
      <c r="F16" s="20">
        <v>9.5</v>
      </c>
      <c r="G16" s="20">
        <f t="shared" si="1"/>
        <v>9.5648611111111119</v>
      </c>
      <c r="H16" s="3">
        <f t="shared" si="2"/>
        <v>1.1627027474206526</v>
      </c>
    </row>
    <row r="17" spans="1:8" ht="15" customHeight="1" thickBot="1" x14ac:dyDescent="0.35">
      <c r="B17" s="13" t="s">
        <v>36</v>
      </c>
      <c r="C17" s="13" t="s">
        <v>37</v>
      </c>
      <c r="D17" s="16">
        <v>1.156909722222222</v>
      </c>
      <c r="E17" s="17">
        <f t="shared" si="0"/>
        <v>0.92552777777777751</v>
      </c>
      <c r="F17" s="20">
        <v>6</v>
      </c>
      <c r="G17" s="20">
        <f t="shared" si="1"/>
        <v>7.6276388888888871</v>
      </c>
      <c r="H17" s="3">
        <f t="shared" si="2"/>
        <v>0.92721437242212967</v>
      </c>
    </row>
    <row r="18" spans="1:8" ht="15" customHeight="1" thickBot="1" x14ac:dyDescent="0.35">
      <c r="B18" s="13" t="s">
        <v>38</v>
      </c>
      <c r="C18" s="13" t="s">
        <v>39</v>
      </c>
      <c r="D18" s="16">
        <v>1.252280092592593</v>
      </c>
      <c r="E18" s="17">
        <f t="shared" si="0"/>
        <v>1.0018240740740745</v>
      </c>
      <c r="F18" s="20">
        <v>7</v>
      </c>
      <c r="G18" s="20">
        <f t="shared" si="1"/>
        <v>8.5091203703703719</v>
      </c>
      <c r="H18" s="3">
        <f t="shared" si="2"/>
        <v>1.0343670982602877</v>
      </c>
    </row>
    <row r="19" spans="1:8" ht="15" customHeight="1" thickBot="1" x14ac:dyDescent="0.35">
      <c r="B19" s="13" t="s">
        <v>40</v>
      </c>
      <c r="C19" s="13" t="s">
        <v>41</v>
      </c>
      <c r="D19" s="16">
        <v>1.3</v>
      </c>
      <c r="E19" s="17">
        <f t="shared" si="0"/>
        <v>1.04</v>
      </c>
      <c r="F19" s="20">
        <v>8.5</v>
      </c>
      <c r="G19" s="20">
        <f t="shared" si="1"/>
        <v>9.4499999999999993</v>
      </c>
      <c r="H19" s="3">
        <f t="shared" si="2"/>
        <v>1.1487402520002497</v>
      </c>
    </row>
    <row r="20" spans="1:8" ht="15" customHeight="1" thickBot="1" x14ac:dyDescent="0.35">
      <c r="B20" s="13" t="s">
        <v>36</v>
      </c>
      <c r="C20" s="13" t="s">
        <v>42</v>
      </c>
      <c r="D20" s="16">
        <v>1.228634259259259</v>
      </c>
      <c r="E20" s="17">
        <f t="shared" si="0"/>
        <v>0.98290740740740712</v>
      </c>
      <c r="F20" s="20">
        <v>8</v>
      </c>
      <c r="G20" s="20">
        <f t="shared" si="1"/>
        <v>8.9145370370370358</v>
      </c>
      <c r="H20" s="3">
        <f t="shared" si="2"/>
        <v>1.0836494732689401</v>
      </c>
    </row>
    <row r="21" spans="1:8" ht="15" customHeight="1" thickBot="1" x14ac:dyDescent="0.35">
      <c r="B21" s="13" t="s">
        <v>43</v>
      </c>
      <c r="C21" s="13" t="s">
        <v>44</v>
      </c>
      <c r="D21" s="16">
        <v>1.3082523148148151</v>
      </c>
      <c r="E21" s="17">
        <f t="shared" si="0"/>
        <v>1.0466018518518521</v>
      </c>
      <c r="F21" s="20">
        <v>8</v>
      </c>
      <c r="G21" s="20">
        <f t="shared" si="1"/>
        <v>9.2330092592592603</v>
      </c>
      <c r="H21" s="3">
        <f t="shared" si="2"/>
        <v>1.1223628976933462</v>
      </c>
    </row>
    <row r="22" spans="1:8" ht="15" customHeight="1" thickBot="1" x14ac:dyDescent="0.35">
      <c r="B22" s="13"/>
      <c r="C22" s="13"/>
      <c r="D22" s="14"/>
      <c r="E22" s="14"/>
      <c r="F22" s="14"/>
      <c r="G22" s="14"/>
      <c r="H22" s="3"/>
    </row>
    <row r="23" spans="1:8" ht="15" customHeight="1" thickBot="1" x14ac:dyDescent="0.35">
      <c r="B23" s="13"/>
      <c r="C23" s="13"/>
      <c r="D23" s="14"/>
      <c r="E23" s="14"/>
      <c r="F23" s="14"/>
      <c r="G23" s="14"/>
      <c r="H23" s="3"/>
    </row>
    <row r="24" spans="1:8" ht="15" customHeight="1" thickBot="1" x14ac:dyDescent="0.35">
      <c r="B24" s="13"/>
      <c r="C24" s="13"/>
      <c r="D24" s="14"/>
      <c r="E24" s="14"/>
      <c r="F24" s="14"/>
      <c r="G24" s="14"/>
      <c r="H24" s="3"/>
    </row>
    <row r="25" spans="1:8" ht="15" customHeight="1" thickBot="1" x14ac:dyDescent="0.35">
      <c r="B25" s="13"/>
      <c r="C25" s="13"/>
      <c r="D25" s="14"/>
      <c r="E25" s="14"/>
      <c r="F25" s="14"/>
      <c r="G25" s="14"/>
      <c r="H25" s="3"/>
    </row>
    <row r="26" spans="1:8" ht="15" customHeight="1" thickBot="1" x14ac:dyDescent="0.35">
      <c r="C26" s="21"/>
      <c r="D26" s="2" t="s">
        <v>67</v>
      </c>
      <c r="E26" s="2" t="s">
        <v>68</v>
      </c>
      <c r="F26" s="15" t="s">
        <v>47</v>
      </c>
      <c r="G26" s="2" t="s">
        <v>48</v>
      </c>
      <c r="H26" s="2"/>
    </row>
    <row r="27" spans="1:8" x14ac:dyDescent="0.3">
      <c r="A27" t="s">
        <v>49</v>
      </c>
      <c r="B27" s="21">
        <v>20</v>
      </c>
      <c r="C27" s="12"/>
      <c r="D27" s="2"/>
      <c r="H27" s="2"/>
    </row>
    <row r="28" spans="1:8" x14ac:dyDescent="0.3">
      <c r="C28" s="26" t="s">
        <v>50</v>
      </c>
      <c r="D28" s="27"/>
      <c r="E28" s="27"/>
      <c r="H28" s="6">
        <f>SUM(H2:H21)/20</f>
        <v>0.99999999999999978</v>
      </c>
    </row>
    <row r="29" spans="1:8" x14ac:dyDescent="0.3">
      <c r="D29" s="7"/>
      <c r="H29" s="7">
        <f>1-H28</f>
        <v>0</v>
      </c>
    </row>
    <row r="32" spans="1:8" x14ac:dyDescent="0.3">
      <c r="D32" s="11"/>
    </row>
  </sheetData>
  <mergeCells count="1">
    <mergeCell ref="C28:E28"/>
  </mergeCells>
  <conditionalFormatting sqref="C28">
    <cfRule type="cellIs" dxfId="63" priority="13" operator="equal">
      <formula>1</formula>
    </cfRule>
    <cfRule type="cellIs" dxfId="62" priority="14" operator="equal">
      <formula>0</formula>
    </cfRule>
    <cfRule type="cellIs" dxfId="61" priority="15" operator="lessThan">
      <formula>1</formula>
    </cfRule>
    <cfRule type="cellIs" dxfId="60" priority="16" operator="greaterThan">
      <formula>1</formula>
    </cfRule>
  </conditionalFormatting>
  <conditionalFormatting sqref="D29">
    <cfRule type="cellIs" dxfId="59" priority="9" operator="equal">
      <formula>""</formula>
    </cfRule>
    <cfRule type="cellIs" dxfId="58" priority="10" operator="equal">
      <formula>0</formula>
    </cfRule>
    <cfRule type="cellIs" dxfId="57" priority="11" operator="greaterThan">
      <formula>0</formula>
    </cfRule>
    <cfRule type="cellIs" dxfId="56" priority="12" operator="lessThan">
      <formula>0</formula>
    </cfRule>
  </conditionalFormatting>
  <conditionalFormatting sqref="H28">
    <cfRule type="cellIs" dxfId="55" priority="5" operator="equal">
      <formula>1</formula>
    </cfRule>
    <cfRule type="cellIs" dxfId="54" priority="6" operator="equal">
      <formula>0</formula>
    </cfRule>
    <cfRule type="cellIs" dxfId="53" priority="7" operator="lessThan">
      <formula>1</formula>
    </cfRule>
    <cfRule type="cellIs" dxfId="52" priority="8" operator="greaterThan">
      <formula>1</formula>
    </cfRule>
  </conditionalFormatting>
  <conditionalFormatting sqref="H29">
    <cfRule type="cellIs" dxfId="51" priority="1" operator="equal">
      <formula>""</formula>
    </cfRule>
    <cfRule type="cellIs" dxfId="50" priority="2" operator="equal">
      <formula>0</formula>
    </cfRule>
    <cfRule type="cellIs" dxfId="49" priority="3" operator="greaterThan">
      <formula>0</formula>
    </cfRule>
    <cfRule type="cellIs" dxfId="48" priority="4" operator="lessThan">
      <formula>0</formula>
    </cfRule>
  </conditionalFormatting>
  <hyperlinks>
    <hyperlink ref="F26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zoomScale="56" zoomScaleNormal="145" workbookViewId="0">
      <selection activeCell="E37" sqref="E37"/>
    </sheetView>
  </sheetViews>
  <sheetFormatPr baseColWidth="10" defaultColWidth="11.44140625" defaultRowHeight="14.4" x14ac:dyDescent="0.3"/>
  <cols>
    <col min="1" max="1" width="22.44140625" customWidth="1"/>
    <col min="2" max="2" width="20.5546875" customWidth="1"/>
    <col min="3" max="3" width="22.5546875" customWidth="1"/>
    <col min="4" max="4" width="27" customWidth="1"/>
    <col min="5" max="5" width="25.88671875" customWidth="1"/>
    <col min="6" max="6" width="31" customWidth="1"/>
    <col min="7" max="7" width="30.6640625" customWidth="1"/>
    <col min="8" max="8" width="15.109375" customWidth="1"/>
  </cols>
  <sheetData>
    <row r="1" spans="1:12" ht="15" customHeight="1" thickBot="1" x14ac:dyDescent="0.35">
      <c r="A1" s="12" t="s">
        <v>69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70</v>
      </c>
      <c r="H1" s="4" t="s">
        <v>54</v>
      </c>
    </row>
    <row r="2" spans="1:12" ht="15" customHeight="1" thickBot="1" x14ac:dyDescent="0.35">
      <c r="B2" s="13" t="s">
        <v>8</v>
      </c>
      <c r="C2" s="13" t="s">
        <v>9</v>
      </c>
      <c r="D2" s="22">
        <v>1.3212152777777779</v>
      </c>
      <c r="E2" s="17">
        <f t="shared" ref="E2:E21" si="0">(D2*24) / 20</f>
        <v>1.5854583333333334</v>
      </c>
      <c r="F2" s="20">
        <v>10</v>
      </c>
      <c r="G2" s="20">
        <f t="shared" ref="G2:G21" si="1">((E2*10)+F2)/2</f>
        <v>12.927291666666667</v>
      </c>
      <c r="H2" s="3">
        <f t="shared" ref="H2:H21" si="2">G2 / AVERAGE($G$2:$G$21)</f>
        <v>1.4248733019863709</v>
      </c>
    </row>
    <row r="3" spans="1:12" ht="15" customHeight="1" thickBot="1" x14ac:dyDescent="0.35">
      <c r="B3" s="13" t="s">
        <v>10</v>
      </c>
      <c r="C3" s="13" t="s">
        <v>11</v>
      </c>
      <c r="D3" s="23">
        <v>0.87565972222222221</v>
      </c>
      <c r="E3" s="17">
        <f t="shared" si="0"/>
        <v>1.0507916666666666</v>
      </c>
      <c r="F3" s="20">
        <v>7.5</v>
      </c>
      <c r="G3" s="20">
        <f t="shared" si="1"/>
        <v>9.0039583333333333</v>
      </c>
      <c r="H3" s="3">
        <f t="shared" si="2"/>
        <v>0.99243524259961902</v>
      </c>
    </row>
    <row r="4" spans="1:12" ht="15" customHeight="1" thickBot="1" x14ac:dyDescent="0.35">
      <c r="B4" s="13" t="s">
        <v>12</v>
      </c>
      <c r="C4" s="13" t="s">
        <v>13</v>
      </c>
      <c r="D4" s="24">
        <v>1.073333333333333</v>
      </c>
      <c r="E4" s="17">
        <f t="shared" si="0"/>
        <v>1.2879999999999996</v>
      </c>
      <c r="F4" s="20">
        <v>10</v>
      </c>
      <c r="G4" s="20">
        <f t="shared" si="1"/>
        <v>11.439999999999998</v>
      </c>
      <c r="H4" s="3">
        <f t="shared" si="2"/>
        <v>1.2609408834454816</v>
      </c>
    </row>
    <row r="5" spans="1:12" ht="15" customHeight="1" thickBot="1" x14ac:dyDescent="0.35">
      <c r="B5" s="13" t="s">
        <v>12</v>
      </c>
      <c r="C5" s="13" t="s">
        <v>14</v>
      </c>
      <c r="D5" s="23">
        <v>0.79408564814814819</v>
      </c>
      <c r="E5" s="17">
        <f t="shared" si="0"/>
        <v>0.95290277777777777</v>
      </c>
      <c r="F5" s="20">
        <v>3</v>
      </c>
      <c r="G5" s="20">
        <f t="shared" si="1"/>
        <v>6.2645138888888887</v>
      </c>
      <c r="H5" s="3">
        <f t="shared" si="2"/>
        <v>0.69048790886468936</v>
      </c>
    </row>
    <row r="6" spans="1:12" ht="15" customHeight="1" thickBot="1" x14ac:dyDescent="0.35">
      <c r="B6" s="13" t="s">
        <v>15</v>
      </c>
      <c r="C6" s="13" t="s">
        <v>16</v>
      </c>
      <c r="D6" s="23">
        <v>0.91697916666666668</v>
      </c>
      <c r="E6" s="17">
        <f t="shared" si="0"/>
        <v>1.1003750000000001</v>
      </c>
      <c r="F6" s="20">
        <v>8.5</v>
      </c>
      <c r="G6" s="20">
        <f t="shared" si="1"/>
        <v>9.7518750000000001</v>
      </c>
      <c r="H6" s="3">
        <f t="shared" si="2"/>
        <v>1.074872192111006</v>
      </c>
    </row>
    <row r="7" spans="1:12" ht="15" customHeight="1" thickBot="1" x14ac:dyDescent="0.35">
      <c r="B7" s="13" t="s">
        <v>17</v>
      </c>
      <c r="C7" s="13" t="s">
        <v>18</v>
      </c>
      <c r="D7" s="23">
        <v>0.9202893518518519</v>
      </c>
      <c r="E7" s="17">
        <f t="shared" si="0"/>
        <v>1.1043472222222221</v>
      </c>
      <c r="F7" s="20">
        <v>8</v>
      </c>
      <c r="G7" s="20">
        <f t="shared" si="1"/>
        <v>9.5217361111111103</v>
      </c>
      <c r="H7" s="3">
        <f t="shared" si="2"/>
        <v>1.0495057992901389</v>
      </c>
      <c r="L7" s="18"/>
    </row>
    <row r="8" spans="1:12" ht="15" customHeight="1" thickBot="1" x14ac:dyDescent="0.35">
      <c r="B8" s="13" t="s">
        <v>19</v>
      </c>
      <c r="C8" s="13" t="s">
        <v>20</v>
      </c>
      <c r="D8" s="23">
        <v>0.97291666666666665</v>
      </c>
      <c r="E8" s="17">
        <f t="shared" si="0"/>
        <v>1.1675</v>
      </c>
      <c r="F8" s="20">
        <v>8.5</v>
      </c>
      <c r="G8" s="20">
        <f t="shared" si="1"/>
        <v>10.0875</v>
      </c>
      <c r="H8" s="3">
        <f t="shared" si="2"/>
        <v>1.1118654861675086</v>
      </c>
    </row>
    <row r="9" spans="1:12" ht="15" customHeight="1" thickBot="1" x14ac:dyDescent="0.35">
      <c r="B9" s="13" t="s">
        <v>21</v>
      </c>
      <c r="C9" s="13" t="s">
        <v>22</v>
      </c>
      <c r="D9" s="23">
        <v>0.76469907407407411</v>
      </c>
      <c r="E9" s="17">
        <f t="shared" si="0"/>
        <v>0.91763888888888889</v>
      </c>
      <c r="F9" s="20">
        <v>7</v>
      </c>
      <c r="G9" s="20">
        <f t="shared" si="1"/>
        <v>8.0881944444444436</v>
      </c>
      <c r="H9" s="3">
        <f t="shared" si="2"/>
        <v>0.89149781890355018</v>
      </c>
    </row>
    <row r="10" spans="1:12" ht="15" customHeight="1" thickBot="1" x14ac:dyDescent="0.35">
      <c r="B10" s="13" t="s">
        <v>23</v>
      </c>
      <c r="C10" s="13" t="s">
        <v>24</v>
      </c>
      <c r="D10" s="23">
        <v>0.81597222222222221</v>
      </c>
      <c r="E10" s="17">
        <f t="shared" si="0"/>
        <v>0.97916666666666663</v>
      </c>
      <c r="F10" s="20">
        <v>7</v>
      </c>
      <c r="G10" s="20">
        <f t="shared" si="1"/>
        <v>8.3958333333333321</v>
      </c>
      <c r="H10" s="3">
        <f t="shared" si="2"/>
        <v>0.92540642487712899</v>
      </c>
    </row>
    <row r="11" spans="1:12" ht="15" customHeight="1" thickBot="1" x14ac:dyDescent="0.35">
      <c r="B11" s="13" t="s">
        <v>25</v>
      </c>
      <c r="C11" s="13" t="s">
        <v>26</v>
      </c>
      <c r="D11" s="23">
        <v>0.83481481481481479</v>
      </c>
      <c r="E11" s="17">
        <f t="shared" si="0"/>
        <v>1.0017777777777777</v>
      </c>
      <c r="F11" s="20">
        <v>9</v>
      </c>
      <c r="G11" s="20">
        <f t="shared" si="1"/>
        <v>9.5088888888888885</v>
      </c>
      <c r="H11" s="3">
        <f t="shared" si="2"/>
        <v>1.0480897514108811</v>
      </c>
    </row>
    <row r="12" spans="1:12" ht="15" customHeight="1" thickBot="1" x14ac:dyDescent="0.35">
      <c r="B12" s="13" t="s">
        <v>27</v>
      </c>
      <c r="C12" s="13" t="s">
        <v>28</v>
      </c>
      <c r="D12" s="23">
        <v>0.75748842592592591</v>
      </c>
      <c r="E12" s="17">
        <f t="shared" si="0"/>
        <v>0.90898611111111105</v>
      </c>
      <c r="F12" s="20">
        <v>6.5</v>
      </c>
      <c r="G12" s="20">
        <f t="shared" si="1"/>
        <v>7.7949305555555553</v>
      </c>
      <c r="H12" s="3">
        <f t="shared" si="2"/>
        <v>0.85917365569216797</v>
      </c>
    </row>
    <row r="13" spans="1:12" ht="15" customHeight="1" thickBot="1" x14ac:dyDescent="0.35">
      <c r="B13" s="13" t="s">
        <v>29</v>
      </c>
      <c r="C13" s="13" t="s">
        <v>30</v>
      </c>
      <c r="D13" s="23">
        <v>0.875</v>
      </c>
      <c r="E13" s="17">
        <f t="shared" si="0"/>
        <v>1.05</v>
      </c>
      <c r="F13" s="20">
        <v>5</v>
      </c>
      <c r="G13" s="20">
        <f t="shared" si="1"/>
        <v>7.75</v>
      </c>
      <c r="H13" s="3">
        <f t="shared" si="2"/>
        <v>0.85422131527119616</v>
      </c>
    </row>
    <row r="14" spans="1:12" ht="15" customHeight="1" thickBot="1" x14ac:dyDescent="0.35">
      <c r="B14" s="13" t="s">
        <v>31</v>
      </c>
      <c r="C14" s="13" t="s">
        <v>32</v>
      </c>
      <c r="D14" s="23">
        <v>0.93865740740740744</v>
      </c>
      <c r="E14" s="17">
        <f t="shared" si="0"/>
        <v>1.1263888888888889</v>
      </c>
      <c r="F14" s="20">
        <v>8</v>
      </c>
      <c r="G14" s="20">
        <f t="shared" si="1"/>
        <v>9.6319444444444446</v>
      </c>
      <c r="H14" s="3">
        <f t="shared" si="2"/>
        <v>1.0616531938003129</v>
      </c>
      <c r="L14" s="19"/>
    </row>
    <row r="15" spans="1:12" ht="15" customHeight="1" thickBot="1" x14ac:dyDescent="0.35">
      <c r="B15" s="13" t="s">
        <v>12</v>
      </c>
      <c r="C15" s="13" t="s">
        <v>33</v>
      </c>
      <c r="D15" s="24">
        <v>1.0462615740740739</v>
      </c>
      <c r="E15" s="17">
        <f t="shared" si="0"/>
        <v>1.2555138888888888</v>
      </c>
      <c r="F15" s="20">
        <v>7.5</v>
      </c>
      <c r="G15" s="20">
        <f t="shared" si="1"/>
        <v>10.027569444444444</v>
      </c>
      <c r="H15" s="3">
        <f t="shared" si="2"/>
        <v>1.1052598141685923</v>
      </c>
    </row>
    <row r="16" spans="1:12" ht="15" customHeight="1" thickBot="1" x14ac:dyDescent="0.35">
      <c r="B16" s="13" t="s">
        <v>34</v>
      </c>
      <c r="C16" s="13" t="s">
        <v>35</v>
      </c>
      <c r="D16" s="23">
        <v>0.7492361111111111</v>
      </c>
      <c r="E16" s="17">
        <f t="shared" si="0"/>
        <v>0.89908333333333323</v>
      </c>
      <c r="F16" s="20">
        <v>8.5</v>
      </c>
      <c r="G16" s="20">
        <f t="shared" si="1"/>
        <v>8.7454166666666673</v>
      </c>
      <c r="H16" s="3">
        <f t="shared" si="2"/>
        <v>0.96393823581866334</v>
      </c>
    </row>
    <row r="17" spans="1:8" ht="15" customHeight="1" thickBot="1" x14ac:dyDescent="0.35">
      <c r="B17" s="13" t="s">
        <v>36</v>
      </c>
      <c r="C17" s="13" t="s">
        <v>37</v>
      </c>
      <c r="D17" s="23">
        <v>0.80880787037037039</v>
      </c>
      <c r="E17" s="17">
        <f t="shared" si="0"/>
        <v>0.97056944444444448</v>
      </c>
      <c r="F17" s="20">
        <v>7.5</v>
      </c>
      <c r="G17" s="20">
        <f t="shared" si="1"/>
        <v>8.6028472222222234</v>
      </c>
      <c r="H17" s="3">
        <f t="shared" si="2"/>
        <v>0.94822393151533213</v>
      </c>
    </row>
    <row r="18" spans="1:8" ht="15" customHeight="1" thickBot="1" x14ac:dyDescent="0.35">
      <c r="B18" s="13" t="s">
        <v>38</v>
      </c>
      <c r="C18" s="13" t="s">
        <v>39</v>
      </c>
      <c r="D18" s="23">
        <v>0.95706018518518521</v>
      </c>
      <c r="E18" s="17">
        <f t="shared" si="0"/>
        <v>1.1484722222222223</v>
      </c>
      <c r="F18" s="20">
        <v>8</v>
      </c>
      <c r="G18" s="20">
        <f t="shared" si="1"/>
        <v>9.7423611111111121</v>
      </c>
      <c r="H18" s="3">
        <f t="shared" si="2"/>
        <v>1.0738235512490693</v>
      </c>
    </row>
    <row r="19" spans="1:8" ht="15" customHeight="1" thickBot="1" x14ac:dyDescent="0.35">
      <c r="B19" s="13" t="s">
        <v>40</v>
      </c>
      <c r="C19" s="13" t="s">
        <v>41</v>
      </c>
      <c r="D19" s="23">
        <v>0.79861111111111116</v>
      </c>
      <c r="E19" s="17">
        <f t="shared" si="0"/>
        <v>0.95833333333333337</v>
      </c>
      <c r="F19" s="20">
        <v>7.5</v>
      </c>
      <c r="G19" s="20">
        <f t="shared" si="1"/>
        <v>8.5416666666666679</v>
      </c>
      <c r="H19" s="3">
        <f t="shared" si="2"/>
        <v>0.94148048188492062</v>
      </c>
    </row>
    <row r="20" spans="1:8" ht="15" customHeight="1" thickBot="1" x14ac:dyDescent="0.35">
      <c r="B20" s="13" t="s">
        <v>36</v>
      </c>
      <c r="C20" s="13" t="s">
        <v>42</v>
      </c>
      <c r="D20" s="23">
        <v>0.84755787037037034</v>
      </c>
      <c r="E20" s="17">
        <f t="shared" si="0"/>
        <v>1.0170694444444444</v>
      </c>
      <c r="F20" s="20">
        <v>8</v>
      </c>
      <c r="G20" s="20">
        <f t="shared" si="1"/>
        <v>9.0853472222222216</v>
      </c>
      <c r="H20" s="3">
        <f t="shared" si="2"/>
        <v>1.0014060972725387</v>
      </c>
    </row>
    <row r="21" spans="1:8" ht="15" customHeight="1" thickBot="1" x14ac:dyDescent="0.35">
      <c r="B21" s="13" t="s">
        <v>43</v>
      </c>
      <c r="C21" s="13" t="s">
        <v>44</v>
      </c>
      <c r="D21" s="23">
        <v>0.75665509259259256</v>
      </c>
      <c r="E21" s="17">
        <f t="shared" si="0"/>
        <v>0.90798611111111105</v>
      </c>
      <c r="F21" s="20">
        <v>4</v>
      </c>
      <c r="G21" s="20">
        <f t="shared" si="1"/>
        <v>6.5399305555555554</v>
      </c>
      <c r="H21" s="3">
        <f t="shared" si="2"/>
        <v>0.72084491367083237</v>
      </c>
    </row>
    <row r="22" spans="1:8" ht="15" customHeight="1" thickBot="1" x14ac:dyDescent="0.35">
      <c r="B22" s="13"/>
      <c r="C22" s="13"/>
      <c r="D22" s="14"/>
      <c r="E22" s="14"/>
      <c r="F22" s="14"/>
      <c r="G22" s="14"/>
      <c r="H22" s="3"/>
    </row>
    <row r="23" spans="1:8" ht="15" customHeight="1" thickBot="1" x14ac:dyDescent="0.35">
      <c r="B23" s="13"/>
      <c r="C23" s="13"/>
      <c r="D23" s="14"/>
      <c r="E23" s="14"/>
      <c r="F23" s="14"/>
      <c r="G23" s="14"/>
      <c r="H23" s="3"/>
    </row>
    <row r="24" spans="1:8" ht="15" customHeight="1" thickBot="1" x14ac:dyDescent="0.35">
      <c r="B24" s="13"/>
      <c r="C24" s="13"/>
      <c r="D24" s="14"/>
      <c r="E24" s="14"/>
      <c r="F24" s="14"/>
      <c r="G24" s="14"/>
      <c r="H24" s="3"/>
    </row>
    <row r="25" spans="1:8" ht="15" customHeight="1" thickBot="1" x14ac:dyDescent="0.35">
      <c r="B25" s="13"/>
      <c r="C25" s="13"/>
      <c r="D25" s="14"/>
      <c r="E25" s="14"/>
      <c r="F25" s="14"/>
      <c r="G25" s="14"/>
      <c r="H25" s="3"/>
    </row>
    <row r="26" spans="1:8" ht="15" customHeight="1" thickBot="1" x14ac:dyDescent="0.35">
      <c r="C26" s="21"/>
      <c r="D26" s="2" t="s">
        <v>45</v>
      </c>
      <c r="E26" s="2" t="s">
        <v>46</v>
      </c>
      <c r="F26" s="15" t="s">
        <v>47</v>
      </c>
      <c r="G26" s="2" t="s">
        <v>48</v>
      </c>
      <c r="H26" s="2"/>
    </row>
    <row r="27" spans="1:8" x14ac:dyDescent="0.3">
      <c r="A27" t="s">
        <v>49</v>
      </c>
      <c r="B27" s="21">
        <v>20</v>
      </c>
      <c r="C27" s="12"/>
      <c r="D27" s="2"/>
      <c r="H27" s="2"/>
    </row>
    <row r="28" spans="1:8" x14ac:dyDescent="0.3">
      <c r="C28" s="26" t="s">
        <v>50</v>
      </c>
      <c r="D28" s="27"/>
      <c r="E28" s="27"/>
      <c r="H28" s="6">
        <f>SUM(H2:H21)/20</f>
        <v>1</v>
      </c>
    </row>
    <row r="29" spans="1:8" x14ac:dyDescent="0.3">
      <c r="D29" s="7"/>
      <c r="H29" s="7">
        <f>1-H28</f>
        <v>0</v>
      </c>
    </row>
    <row r="32" spans="1:8" x14ac:dyDescent="0.3">
      <c r="D32" s="11"/>
    </row>
  </sheetData>
  <mergeCells count="1">
    <mergeCell ref="C28:E28"/>
  </mergeCells>
  <conditionalFormatting sqref="C28">
    <cfRule type="cellIs" dxfId="47" priority="13" operator="equal">
      <formula>1</formula>
    </cfRule>
    <cfRule type="cellIs" dxfId="46" priority="14" operator="equal">
      <formula>0</formula>
    </cfRule>
    <cfRule type="cellIs" dxfId="45" priority="15" operator="lessThan">
      <formula>1</formula>
    </cfRule>
    <cfRule type="cellIs" dxfId="44" priority="16" operator="greaterThan">
      <formula>1</formula>
    </cfRule>
  </conditionalFormatting>
  <conditionalFormatting sqref="D29">
    <cfRule type="cellIs" dxfId="43" priority="9" operator="equal">
      <formula>""</formula>
    </cfRule>
    <cfRule type="cellIs" dxfId="42" priority="10" operator="equal">
      <formula>0</formula>
    </cfRule>
    <cfRule type="cellIs" dxfId="41" priority="11" operator="greaterThan">
      <formula>0</formula>
    </cfRule>
    <cfRule type="cellIs" dxfId="40" priority="12" operator="lessThan">
      <formula>0</formula>
    </cfRule>
  </conditionalFormatting>
  <conditionalFormatting sqref="H28">
    <cfRule type="cellIs" dxfId="39" priority="5" operator="equal">
      <formula>1</formula>
    </cfRule>
    <cfRule type="cellIs" dxfId="38" priority="6" operator="equal">
      <formula>0</formula>
    </cfRule>
    <cfRule type="cellIs" dxfId="37" priority="7" operator="lessThan">
      <formula>1</formula>
    </cfRule>
    <cfRule type="cellIs" dxfId="36" priority="8" operator="greaterThan">
      <formula>1</formula>
    </cfRule>
  </conditionalFormatting>
  <conditionalFormatting sqref="H29">
    <cfRule type="cellIs" dxfId="35" priority="1" operator="equal">
      <formula>""</formula>
    </cfRule>
    <cfRule type="cellIs" dxfId="34" priority="2" operator="equal">
      <formula>0</formula>
    </cfRule>
    <cfRule type="cellIs" dxfId="33" priority="3" operator="greaterThan">
      <formula>0</formula>
    </cfRule>
    <cfRule type="cellIs" dxfId="32" priority="4" operator="lessThan">
      <formula>0</formula>
    </cfRule>
  </conditionalFormatting>
  <hyperlinks>
    <hyperlink ref="F26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zoomScale="54" zoomScaleNormal="115" workbookViewId="0">
      <selection activeCell="E2" sqref="E2"/>
    </sheetView>
  </sheetViews>
  <sheetFormatPr baseColWidth="10" defaultColWidth="11.44140625" defaultRowHeight="14.4" x14ac:dyDescent="0.3"/>
  <cols>
    <col min="1" max="1" width="26.109375" customWidth="1"/>
    <col min="2" max="2" width="21.33203125" customWidth="1"/>
    <col min="3" max="3" width="35.77734375" customWidth="1"/>
    <col min="4" max="4" width="27.33203125" customWidth="1"/>
    <col min="5" max="5" width="21.21875" customWidth="1"/>
    <col min="6" max="6" width="26.44140625" customWidth="1"/>
    <col min="7" max="7" width="17.44140625" customWidth="1"/>
    <col min="8" max="8" width="19.33203125" customWidth="1"/>
  </cols>
  <sheetData>
    <row r="1" spans="1:8" ht="15" customHeight="1" thickBot="1" x14ac:dyDescent="0.35">
      <c r="A1" s="1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5" customHeight="1" thickBot="1" x14ac:dyDescent="0.35">
      <c r="B2" s="13" t="s">
        <v>8</v>
      </c>
      <c r="C2" s="13" t="s">
        <v>9</v>
      </c>
      <c r="D2" s="25">
        <v>0.83243055555555556</v>
      </c>
      <c r="E2" s="17">
        <f t="shared" ref="E2:E21" si="0">(D2*24) / 20</f>
        <v>0.99891666666666656</v>
      </c>
      <c r="F2" s="20">
        <v>10</v>
      </c>
      <c r="G2" s="20">
        <f t="shared" ref="G2:G21" si="1">((E2*10)+F2)/2</f>
        <v>9.9945833333333329</v>
      </c>
      <c r="H2" s="3">
        <f t="shared" ref="H2:H21" si="2">G2 / AVERAGE($G$2:$G$21)</f>
        <v>1.1086119588543679</v>
      </c>
    </row>
    <row r="3" spans="1:8" ht="27" customHeight="1" thickBot="1" x14ac:dyDescent="0.35">
      <c r="B3" s="13" t="s">
        <v>10</v>
      </c>
      <c r="C3" s="13" t="s">
        <v>11</v>
      </c>
      <c r="D3" s="24">
        <v>1.09037037037037</v>
      </c>
      <c r="E3" s="17">
        <f t="shared" si="0"/>
        <v>1.3084444444444441</v>
      </c>
      <c r="F3" s="20">
        <v>7.5</v>
      </c>
      <c r="G3" s="20">
        <f t="shared" si="1"/>
        <v>10.29222222222222</v>
      </c>
      <c r="H3" s="3">
        <f t="shared" si="2"/>
        <v>1.1416264448651918</v>
      </c>
    </row>
    <row r="4" spans="1:8" ht="27" customHeight="1" thickBot="1" x14ac:dyDescent="0.35">
      <c r="B4" s="13" t="s">
        <v>12</v>
      </c>
      <c r="C4" s="13" t="s">
        <v>13</v>
      </c>
      <c r="D4" s="24">
        <v>1.0401041666666671</v>
      </c>
      <c r="E4" s="17">
        <f t="shared" si="0"/>
        <v>1.2481250000000004</v>
      </c>
      <c r="F4" s="20">
        <v>10</v>
      </c>
      <c r="G4" s="20">
        <f t="shared" si="1"/>
        <v>11.240625000000001</v>
      </c>
      <c r="H4" s="3">
        <f t="shared" si="2"/>
        <v>1.2468244932669246</v>
      </c>
    </row>
    <row r="5" spans="1:8" ht="15" customHeight="1" thickBot="1" x14ac:dyDescent="0.35">
      <c r="B5" s="13" t="s">
        <v>12</v>
      </c>
      <c r="C5" s="13" t="s">
        <v>14</v>
      </c>
      <c r="D5" s="23">
        <v>0.56458333333333333</v>
      </c>
      <c r="E5" s="17">
        <f t="shared" si="0"/>
        <v>0.67749999999999999</v>
      </c>
      <c r="F5" s="20">
        <v>3</v>
      </c>
      <c r="G5" s="20">
        <f t="shared" si="1"/>
        <v>4.8875000000000002</v>
      </c>
      <c r="H5" s="3">
        <f t="shared" si="2"/>
        <v>0.54212774741992487</v>
      </c>
    </row>
    <row r="6" spans="1:8" ht="27" customHeight="1" thickBot="1" x14ac:dyDescent="0.35">
      <c r="B6" s="13" t="s">
        <v>15</v>
      </c>
      <c r="C6" s="13" t="s">
        <v>16</v>
      </c>
      <c r="D6" s="24">
        <v>1.258900462962963</v>
      </c>
      <c r="E6" s="17">
        <f t="shared" si="0"/>
        <v>1.5106805555555556</v>
      </c>
      <c r="F6" s="20">
        <v>8.5</v>
      </c>
      <c r="G6" s="20">
        <f t="shared" si="1"/>
        <v>11.803402777777778</v>
      </c>
      <c r="H6" s="3">
        <f t="shared" si="2"/>
        <v>1.3092485237456266</v>
      </c>
    </row>
    <row r="7" spans="1:8" ht="27" customHeight="1" thickBot="1" x14ac:dyDescent="0.35">
      <c r="B7" s="13" t="s">
        <v>17</v>
      </c>
      <c r="C7" s="13" t="s">
        <v>18</v>
      </c>
      <c r="D7" s="24">
        <v>0.797337962962963</v>
      </c>
      <c r="E7" s="17">
        <f t="shared" si="0"/>
        <v>0.95680555555555569</v>
      </c>
      <c r="F7" s="20">
        <v>8</v>
      </c>
      <c r="G7" s="20">
        <f t="shared" si="1"/>
        <v>8.7840277777777782</v>
      </c>
      <c r="H7" s="3">
        <f t="shared" si="2"/>
        <v>0.97433558924618213</v>
      </c>
    </row>
    <row r="8" spans="1:8" ht="27" customHeight="1" thickBot="1" x14ac:dyDescent="0.35">
      <c r="B8" s="13" t="s">
        <v>19</v>
      </c>
      <c r="C8" s="13" t="s">
        <v>20</v>
      </c>
      <c r="D8" s="23">
        <v>0.83750000000000002</v>
      </c>
      <c r="E8" s="17">
        <f t="shared" si="0"/>
        <v>1.0050000000000001</v>
      </c>
      <c r="F8" s="20">
        <v>8.5</v>
      </c>
      <c r="G8" s="20">
        <f t="shared" si="1"/>
        <v>9.2750000000000004</v>
      </c>
      <c r="H8" s="3">
        <f t="shared" si="2"/>
        <v>1.0287948557176068</v>
      </c>
    </row>
    <row r="9" spans="1:8" ht="27" customHeight="1" thickBot="1" x14ac:dyDescent="0.35">
      <c r="B9" s="13" t="s">
        <v>21</v>
      </c>
      <c r="C9" s="13" t="s">
        <v>22</v>
      </c>
      <c r="D9" s="23">
        <v>0.75138888888888888</v>
      </c>
      <c r="E9" s="17">
        <f t="shared" si="0"/>
        <v>0.90166666666666662</v>
      </c>
      <c r="F9" s="20">
        <v>7</v>
      </c>
      <c r="G9" s="20">
        <f t="shared" si="1"/>
        <v>8.0083333333333329</v>
      </c>
      <c r="H9" s="3">
        <f t="shared" si="2"/>
        <v>0.88829456994125788</v>
      </c>
    </row>
    <row r="10" spans="1:8" ht="27" customHeight="1" thickBot="1" x14ac:dyDescent="0.35">
      <c r="B10" s="13" t="s">
        <v>23</v>
      </c>
      <c r="C10" s="13" t="s">
        <v>24</v>
      </c>
      <c r="D10" s="23">
        <v>0.82638888888888884</v>
      </c>
      <c r="E10" s="17">
        <f t="shared" si="0"/>
        <v>0.99166666666666659</v>
      </c>
      <c r="F10" s="20">
        <v>7</v>
      </c>
      <c r="G10" s="20">
        <f t="shared" si="1"/>
        <v>8.4583333333333321</v>
      </c>
      <c r="H10" s="3">
        <f t="shared" si="2"/>
        <v>0.9382091451512764</v>
      </c>
    </row>
    <row r="11" spans="1:8" ht="27" customHeight="1" thickBot="1" x14ac:dyDescent="0.35">
      <c r="B11" s="13" t="s">
        <v>25</v>
      </c>
      <c r="C11" s="13" t="s">
        <v>26</v>
      </c>
      <c r="D11" s="24">
        <v>1.034641203703704</v>
      </c>
      <c r="E11" s="17">
        <f t="shared" si="0"/>
        <v>1.2415694444444447</v>
      </c>
      <c r="F11" s="20">
        <v>9</v>
      </c>
      <c r="G11" s="20">
        <f t="shared" si="1"/>
        <v>10.707847222222224</v>
      </c>
      <c r="H11" s="3">
        <f t="shared" si="2"/>
        <v>1.1877281011355567</v>
      </c>
    </row>
    <row r="12" spans="1:8" ht="27" customHeight="1" thickBot="1" x14ac:dyDescent="0.35">
      <c r="B12" s="13" t="s">
        <v>27</v>
      </c>
      <c r="C12" s="13" t="s">
        <v>28</v>
      </c>
      <c r="D12" s="23">
        <v>0.64166666666666672</v>
      </c>
      <c r="E12" s="17">
        <f t="shared" si="0"/>
        <v>0.77000000000000013</v>
      </c>
      <c r="F12" s="20">
        <v>6.5</v>
      </c>
      <c r="G12" s="20">
        <f t="shared" si="1"/>
        <v>7.1000000000000005</v>
      </c>
      <c r="H12" s="3">
        <f t="shared" si="2"/>
        <v>0.78754107553584995</v>
      </c>
    </row>
    <row r="13" spans="1:8" ht="27" customHeight="1" thickBot="1" x14ac:dyDescent="0.35">
      <c r="B13" s="13" t="s">
        <v>29</v>
      </c>
      <c r="C13" s="13" t="s">
        <v>30</v>
      </c>
      <c r="D13" s="23">
        <v>0.94465277777777779</v>
      </c>
      <c r="E13" s="17">
        <f t="shared" si="0"/>
        <v>1.1335833333333334</v>
      </c>
      <c r="F13" s="20">
        <v>5</v>
      </c>
      <c r="G13" s="20">
        <f t="shared" si="1"/>
        <v>8.1679166666666667</v>
      </c>
      <c r="H13" s="3">
        <f t="shared" si="2"/>
        <v>0.90599575726110715</v>
      </c>
    </row>
    <row r="14" spans="1:8" ht="27" customHeight="1" thickBot="1" x14ac:dyDescent="0.35">
      <c r="B14" s="13" t="s">
        <v>31</v>
      </c>
      <c r="C14" s="13" t="s">
        <v>32</v>
      </c>
      <c r="D14" s="23">
        <v>0.9858217592592593</v>
      </c>
      <c r="E14" s="17">
        <f t="shared" si="0"/>
        <v>1.1829861111111111</v>
      </c>
      <c r="F14" s="20">
        <v>8</v>
      </c>
      <c r="G14" s="20">
        <f t="shared" si="1"/>
        <v>9.9149305555555554</v>
      </c>
      <c r="H14" s="3">
        <f t="shared" si="2"/>
        <v>1.099776770927533</v>
      </c>
    </row>
    <row r="15" spans="1:8" ht="15" customHeight="1" thickBot="1" x14ac:dyDescent="0.35">
      <c r="B15" s="13" t="s">
        <v>12</v>
      </c>
      <c r="C15" s="13" t="s">
        <v>33</v>
      </c>
      <c r="D15" s="23">
        <v>0.88026620370370368</v>
      </c>
      <c r="E15" s="17">
        <f t="shared" si="0"/>
        <v>1.0563194444444446</v>
      </c>
      <c r="F15" s="20">
        <v>7.5</v>
      </c>
      <c r="G15" s="20">
        <f t="shared" si="1"/>
        <v>9.0315972222222225</v>
      </c>
      <c r="H15" s="3">
        <f t="shared" si="2"/>
        <v>1.0017963084782371</v>
      </c>
    </row>
    <row r="16" spans="1:8" ht="27" customHeight="1" thickBot="1" x14ac:dyDescent="0.35">
      <c r="B16" s="13" t="s">
        <v>34</v>
      </c>
      <c r="C16" s="13" t="s">
        <v>35</v>
      </c>
      <c r="D16" s="23">
        <v>0.77809027777777773</v>
      </c>
      <c r="E16" s="17">
        <f t="shared" si="0"/>
        <v>0.93370833333333325</v>
      </c>
      <c r="F16" s="20">
        <v>8.5</v>
      </c>
      <c r="G16" s="20">
        <f t="shared" si="1"/>
        <v>8.9185416666666661</v>
      </c>
      <c r="H16" s="3">
        <f t="shared" si="2"/>
        <v>0.98925604174337434</v>
      </c>
    </row>
    <row r="17" spans="1:8" ht="27" customHeight="1" thickBot="1" x14ac:dyDescent="0.35">
      <c r="B17" s="13" t="s">
        <v>36</v>
      </c>
      <c r="C17" s="13" t="s">
        <v>37</v>
      </c>
      <c r="D17" s="23">
        <v>0.84890046296296295</v>
      </c>
      <c r="E17" s="17">
        <f t="shared" si="0"/>
        <v>1.0186805555555556</v>
      </c>
      <c r="F17" s="20">
        <v>7.5</v>
      </c>
      <c r="G17" s="20">
        <f t="shared" si="1"/>
        <v>8.8434027777777775</v>
      </c>
      <c r="H17" s="3">
        <f t="shared" si="2"/>
        <v>0.98092154014194832</v>
      </c>
    </row>
    <row r="18" spans="1:8" ht="27" customHeight="1" thickBot="1" x14ac:dyDescent="0.35">
      <c r="B18" s="13" t="s">
        <v>38</v>
      </c>
      <c r="C18" s="13" t="s">
        <v>39</v>
      </c>
      <c r="D18" s="23">
        <v>0.99994212962962958</v>
      </c>
      <c r="E18" s="17">
        <f t="shared" si="0"/>
        <v>1.1999305555555555</v>
      </c>
      <c r="F18" s="20">
        <v>8</v>
      </c>
      <c r="G18" s="20">
        <f t="shared" si="1"/>
        <v>9.9996527777777775</v>
      </c>
      <c r="H18" s="3">
        <f t="shared" si="2"/>
        <v>1.1091742681121353</v>
      </c>
    </row>
    <row r="19" spans="1:8" ht="27" customHeight="1" thickBot="1" x14ac:dyDescent="0.35">
      <c r="B19" s="13" t="s">
        <v>40</v>
      </c>
      <c r="C19" s="13" t="s">
        <v>41</v>
      </c>
      <c r="D19" s="23">
        <v>0.81111111111111112</v>
      </c>
      <c r="E19" s="17">
        <f t="shared" si="0"/>
        <v>0.97333333333333338</v>
      </c>
      <c r="F19" s="20">
        <v>7.5</v>
      </c>
      <c r="G19" s="20">
        <f t="shared" si="1"/>
        <v>8.6166666666666671</v>
      </c>
      <c r="H19" s="3">
        <f t="shared" si="2"/>
        <v>0.95577168087332021</v>
      </c>
    </row>
    <row r="20" spans="1:8" ht="15" customHeight="1" thickBot="1" x14ac:dyDescent="0.35">
      <c r="B20" s="13" t="s">
        <v>36</v>
      </c>
      <c r="C20" s="13" t="s">
        <v>42</v>
      </c>
      <c r="D20" s="23">
        <v>0.60766203703703703</v>
      </c>
      <c r="E20" s="17">
        <f t="shared" si="0"/>
        <v>0.72919444444444448</v>
      </c>
      <c r="F20" s="20">
        <v>8</v>
      </c>
      <c r="G20" s="20">
        <f t="shared" si="1"/>
        <v>7.6459722222222224</v>
      </c>
      <c r="H20" s="3">
        <f t="shared" si="2"/>
        <v>0.84810101231072132</v>
      </c>
    </row>
    <row r="21" spans="1:8" ht="27" customHeight="1" thickBot="1" x14ac:dyDescent="0.35">
      <c r="B21" s="13" t="s">
        <v>43</v>
      </c>
      <c r="C21" s="13" t="s">
        <v>44</v>
      </c>
      <c r="D21" s="24">
        <v>1.102916666666667</v>
      </c>
      <c r="E21" s="17">
        <f t="shared" si="0"/>
        <v>1.3235000000000003</v>
      </c>
      <c r="F21" s="20">
        <v>4</v>
      </c>
      <c r="G21" s="20">
        <f t="shared" si="1"/>
        <v>8.6175000000000015</v>
      </c>
      <c r="H21" s="3">
        <f t="shared" si="2"/>
        <v>0.95586411527185744</v>
      </c>
    </row>
    <row r="22" spans="1:8" ht="15" customHeight="1" thickBot="1" x14ac:dyDescent="0.35">
      <c r="B22" s="13"/>
      <c r="C22" s="13"/>
      <c r="D22" s="14"/>
      <c r="E22" s="14"/>
      <c r="F22" s="14"/>
      <c r="G22" s="14"/>
      <c r="H22" s="3"/>
    </row>
    <row r="23" spans="1:8" ht="15" customHeight="1" thickBot="1" x14ac:dyDescent="0.35">
      <c r="B23" s="13"/>
      <c r="C23" s="13"/>
      <c r="D23" s="14"/>
      <c r="E23" s="14"/>
      <c r="F23" s="14"/>
      <c r="G23" s="14"/>
      <c r="H23" s="3"/>
    </row>
    <row r="24" spans="1:8" ht="15" customHeight="1" thickBot="1" x14ac:dyDescent="0.35">
      <c r="B24" s="13"/>
      <c r="C24" s="13"/>
      <c r="D24" s="14"/>
      <c r="E24" s="14"/>
      <c r="F24" s="14"/>
      <c r="G24" s="14"/>
      <c r="H24" s="3"/>
    </row>
    <row r="25" spans="1:8" ht="15" customHeight="1" thickBot="1" x14ac:dyDescent="0.35">
      <c r="B25" s="13"/>
      <c r="C25" s="13"/>
      <c r="D25" s="14"/>
      <c r="E25" s="14"/>
      <c r="F25" s="14"/>
      <c r="G25" s="14"/>
      <c r="H25" s="3"/>
    </row>
    <row r="26" spans="1:8" ht="15" customHeight="1" thickBot="1" x14ac:dyDescent="0.35">
      <c r="C26" s="21"/>
      <c r="D26" s="2" t="s">
        <v>45</v>
      </c>
      <c r="E26" s="2" t="s">
        <v>46</v>
      </c>
      <c r="F26" s="15" t="s">
        <v>47</v>
      </c>
      <c r="G26" s="2" t="s">
        <v>48</v>
      </c>
      <c r="H26" s="2"/>
    </row>
    <row r="27" spans="1:8" x14ac:dyDescent="0.3">
      <c r="A27" t="s">
        <v>49</v>
      </c>
      <c r="B27" s="21">
        <v>20</v>
      </c>
      <c r="C27" s="12"/>
      <c r="D27" s="2"/>
      <c r="H27" s="2"/>
    </row>
    <row r="28" spans="1:8" x14ac:dyDescent="0.3">
      <c r="C28" s="26" t="s">
        <v>50</v>
      </c>
      <c r="D28" s="27"/>
      <c r="E28" s="27"/>
      <c r="H28" s="6">
        <f>SUM(H2:H21)/20</f>
        <v>1</v>
      </c>
    </row>
    <row r="29" spans="1:8" x14ac:dyDescent="0.3">
      <c r="D29" s="7"/>
      <c r="H29" s="7">
        <f>1-H28</f>
        <v>0</v>
      </c>
    </row>
  </sheetData>
  <mergeCells count="1">
    <mergeCell ref="C28:E28"/>
  </mergeCells>
  <conditionalFormatting sqref="C28">
    <cfRule type="cellIs" dxfId="31" priority="13" operator="equal">
      <formula>1</formula>
    </cfRule>
    <cfRule type="cellIs" dxfId="30" priority="14" operator="equal">
      <formula>0</formula>
    </cfRule>
    <cfRule type="cellIs" dxfId="29" priority="15" operator="lessThan">
      <formula>1</formula>
    </cfRule>
    <cfRule type="cellIs" dxfId="28" priority="16" operator="greaterThan">
      <formula>1</formula>
    </cfRule>
  </conditionalFormatting>
  <conditionalFormatting sqref="D29">
    <cfRule type="cellIs" dxfId="27" priority="9" operator="equal">
      <formula>""</formula>
    </cfRule>
    <cfRule type="cellIs" dxfId="26" priority="10" operator="equal">
      <formula>0</formula>
    </cfRule>
    <cfRule type="cellIs" dxfId="25" priority="11" operator="greaterThan">
      <formula>0</formula>
    </cfRule>
    <cfRule type="cellIs" dxfId="24" priority="12" operator="lessThan">
      <formula>0</formula>
    </cfRule>
  </conditionalFormatting>
  <conditionalFormatting sqref="H28">
    <cfRule type="cellIs" dxfId="23" priority="5" operator="equal">
      <formula>1</formula>
    </cfRule>
    <cfRule type="cellIs" dxfId="22" priority="6" operator="equal">
      <formula>0</formula>
    </cfRule>
    <cfRule type="cellIs" dxfId="21" priority="7" operator="lessThan">
      <formula>1</formula>
    </cfRule>
    <cfRule type="cellIs" dxfId="20" priority="8" operator="greaterThan">
      <formula>1</formula>
    </cfRule>
  </conditionalFormatting>
  <conditionalFormatting sqref="H29">
    <cfRule type="cellIs" dxfId="19" priority="1" operator="equal">
      <formula>""</formula>
    </cfRule>
    <cfRule type="cellIs" dxfId="18" priority="2" operator="equal">
      <formula>0</formula>
    </cfRule>
    <cfRule type="cellIs" dxfId="17" priority="3" operator="greaterThan">
      <formula>0</formula>
    </cfRule>
    <cfRule type="cellIs" dxfId="16" priority="4" operator="lessThan">
      <formula>0</formula>
    </cfRule>
  </conditionalFormatting>
  <hyperlinks>
    <hyperlink ref="F26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F537-1037-4E5C-B6B3-16F59F212B3C}">
  <dimension ref="A1:H29"/>
  <sheetViews>
    <sheetView zoomScale="60" workbookViewId="0">
      <selection activeCell="H8" sqref="H8"/>
    </sheetView>
  </sheetViews>
  <sheetFormatPr baseColWidth="10" defaultRowHeight="14.4" x14ac:dyDescent="0.3"/>
  <cols>
    <col min="1" max="1" width="28" customWidth="1"/>
    <col min="3" max="3" width="33" customWidth="1"/>
    <col min="4" max="4" width="22.6640625" customWidth="1"/>
    <col min="5" max="5" width="26" customWidth="1"/>
    <col min="6" max="6" width="36" customWidth="1"/>
    <col min="7" max="7" width="30.21875" customWidth="1"/>
    <col min="8" max="8" width="23.44140625" customWidth="1"/>
  </cols>
  <sheetData>
    <row r="1" spans="1:8" ht="15" thickBot="1" x14ac:dyDescent="0.35">
      <c r="A1" s="12" t="s">
        <v>72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74</v>
      </c>
      <c r="H1" s="4" t="s">
        <v>75</v>
      </c>
    </row>
    <row r="2" spans="1:8" ht="24" customHeight="1" thickBot="1" x14ac:dyDescent="0.35">
      <c r="B2" s="13" t="s">
        <v>8</v>
      </c>
      <c r="C2" s="13" t="s">
        <v>9</v>
      </c>
      <c r="D2" s="25">
        <v>0.44236111111111109</v>
      </c>
      <c r="E2" s="17">
        <f>(D2*24) / 10</f>
        <v>1.0616666666666668</v>
      </c>
      <c r="F2" s="20">
        <v>10</v>
      </c>
      <c r="G2" s="20">
        <f t="shared" ref="G2:G21" si="0">((E2*10)+F2)/2</f>
        <v>10.308333333333334</v>
      </c>
      <c r="H2" s="3">
        <f t="shared" ref="H2:H21" si="1">G2 / AVERAGE($G$2:$G$21)</f>
        <v>1.3676341329932979</v>
      </c>
    </row>
    <row r="3" spans="1:8" ht="27" thickBot="1" x14ac:dyDescent="0.35">
      <c r="B3" s="13" t="s">
        <v>10</v>
      </c>
      <c r="C3" s="13" t="s">
        <v>11</v>
      </c>
      <c r="D3" s="23">
        <v>0.40069444444444446</v>
      </c>
      <c r="E3" s="17">
        <f t="shared" ref="E3:E21" si="2">(D3*24) / 10</f>
        <v>0.96166666666666667</v>
      </c>
      <c r="F3" s="20">
        <v>7.5</v>
      </c>
      <c r="G3" s="20">
        <f t="shared" si="0"/>
        <v>8.5583333333333336</v>
      </c>
      <c r="H3" s="3">
        <f t="shared" si="1"/>
        <v>1.1354569560097956</v>
      </c>
    </row>
    <row r="4" spans="1:8" ht="27" thickBot="1" x14ac:dyDescent="0.35">
      <c r="B4" s="13" t="s">
        <v>12</v>
      </c>
      <c r="C4" s="13" t="s">
        <v>13</v>
      </c>
      <c r="D4" s="23">
        <v>0.3994328703703704</v>
      </c>
      <c r="E4" s="17">
        <f t="shared" si="2"/>
        <v>0.95863888888888893</v>
      </c>
      <c r="F4" s="20">
        <v>10</v>
      </c>
      <c r="G4" s="20">
        <f>((E4*10)+F4)/2</f>
        <v>9.7931944444444454</v>
      </c>
      <c r="H4" s="3">
        <f t="shared" si="1"/>
        <v>1.2992892798637894</v>
      </c>
    </row>
    <row r="5" spans="1:8" ht="25.2" customHeight="1" thickBot="1" x14ac:dyDescent="0.35">
      <c r="B5" s="13" t="s">
        <v>12</v>
      </c>
      <c r="C5" s="13" t="s">
        <v>14</v>
      </c>
      <c r="D5" s="23">
        <v>0.16666666666666666</v>
      </c>
      <c r="E5" s="17">
        <f t="shared" si="2"/>
        <v>0.4</v>
      </c>
      <c r="F5" s="20">
        <v>3</v>
      </c>
      <c r="G5" s="20">
        <f t="shared" si="0"/>
        <v>3.5</v>
      </c>
      <c r="H5" s="3">
        <f t="shared" si="1"/>
        <v>0.46435435396700497</v>
      </c>
    </row>
    <row r="6" spans="1:8" ht="27" thickBot="1" x14ac:dyDescent="0.35">
      <c r="B6" s="13" t="s">
        <v>15</v>
      </c>
      <c r="C6" s="13" t="s">
        <v>16</v>
      </c>
      <c r="D6" s="24">
        <v>0.42440972222222223</v>
      </c>
      <c r="E6" s="17">
        <f t="shared" si="2"/>
        <v>1.0185833333333334</v>
      </c>
      <c r="F6" s="20">
        <v>8.5</v>
      </c>
      <c r="G6" s="20">
        <f t="shared" si="0"/>
        <v>9.3429166666666674</v>
      </c>
      <c r="H6" s="3">
        <f t="shared" si="1"/>
        <v>1.2395497236907325</v>
      </c>
    </row>
    <row r="7" spans="1:8" ht="27" thickBot="1" x14ac:dyDescent="0.35">
      <c r="B7" s="13" t="s">
        <v>17</v>
      </c>
      <c r="C7" s="13" t="s">
        <v>18</v>
      </c>
      <c r="D7" s="24">
        <v>0.44512731481481482</v>
      </c>
      <c r="E7" s="17">
        <f t="shared" si="2"/>
        <v>1.0683055555555554</v>
      </c>
      <c r="F7" s="20">
        <v>8</v>
      </c>
      <c r="G7" s="20">
        <f t="shared" si="0"/>
        <v>9.3415277777777774</v>
      </c>
      <c r="H7" s="3">
        <f t="shared" si="1"/>
        <v>1.2393654560899519</v>
      </c>
    </row>
    <row r="8" spans="1:8" ht="27" thickBot="1" x14ac:dyDescent="0.35">
      <c r="B8" s="13" t="s">
        <v>19</v>
      </c>
      <c r="C8" s="13" t="s">
        <v>20</v>
      </c>
      <c r="D8" s="23">
        <v>0.38124999999999998</v>
      </c>
      <c r="E8" s="17">
        <f t="shared" si="2"/>
        <v>0.91499999999999981</v>
      </c>
      <c r="F8" s="20">
        <v>8.5</v>
      </c>
      <c r="G8" s="20">
        <f t="shared" si="0"/>
        <v>8.8249999999999993</v>
      </c>
      <c r="H8" s="3">
        <f t="shared" si="1"/>
        <v>1.1708363353596625</v>
      </c>
    </row>
    <row r="9" spans="1:8" ht="27" thickBot="1" x14ac:dyDescent="0.35">
      <c r="B9" s="13" t="s">
        <v>21</v>
      </c>
      <c r="C9" s="13" t="s">
        <v>22</v>
      </c>
      <c r="D9" s="23">
        <v>0.26773148148148146</v>
      </c>
      <c r="E9" s="17">
        <f t="shared" si="2"/>
        <v>0.64255555555555544</v>
      </c>
      <c r="F9" s="20">
        <v>7</v>
      </c>
      <c r="G9" s="20">
        <f t="shared" si="0"/>
        <v>6.7127777777777773</v>
      </c>
      <c r="H9" s="3">
        <f t="shared" si="1"/>
        <v>0.89060216809259063</v>
      </c>
    </row>
    <row r="10" spans="1:8" ht="27" thickBot="1" x14ac:dyDescent="0.35">
      <c r="B10" s="13" t="s">
        <v>23</v>
      </c>
      <c r="C10" s="13" t="s">
        <v>24</v>
      </c>
      <c r="D10" s="23">
        <v>0.24305555555555555</v>
      </c>
      <c r="E10" s="17">
        <f t="shared" si="2"/>
        <v>0.58333333333333326</v>
      </c>
      <c r="F10" s="20">
        <v>7</v>
      </c>
      <c r="G10" s="20">
        <f t="shared" si="0"/>
        <v>6.4166666666666661</v>
      </c>
      <c r="H10" s="3">
        <f t="shared" si="1"/>
        <v>0.85131631560617571</v>
      </c>
    </row>
    <row r="11" spans="1:8" ht="27" thickBot="1" x14ac:dyDescent="0.35">
      <c r="B11" s="13" t="s">
        <v>25</v>
      </c>
      <c r="C11" s="13" t="s">
        <v>26</v>
      </c>
      <c r="D11" s="24">
        <v>0.27847222222222223</v>
      </c>
      <c r="E11" s="17">
        <f t="shared" si="2"/>
        <v>0.66833333333333333</v>
      </c>
      <c r="F11" s="20">
        <v>9</v>
      </c>
      <c r="G11" s="20">
        <f t="shared" si="0"/>
        <v>7.8416666666666668</v>
      </c>
      <c r="H11" s="3">
        <f t="shared" si="1"/>
        <v>1.0403748740070278</v>
      </c>
    </row>
    <row r="12" spans="1:8" ht="27" thickBot="1" x14ac:dyDescent="0.35">
      <c r="B12" s="13" t="s">
        <v>27</v>
      </c>
      <c r="C12" s="13" t="s">
        <v>28</v>
      </c>
      <c r="D12" s="23">
        <v>0.30208333333333331</v>
      </c>
      <c r="E12" s="17">
        <f t="shared" si="2"/>
        <v>0.72499999999999998</v>
      </c>
      <c r="F12" s="20">
        <v>6.5</v>
      </c>
      <c r="G12" s="20">
        <f t="shared" si="0"/>
        <v>6.875</v>
      </c>
      <c r="H12" s="3">
        <f t="shared" si="1"/>
        <v>0.91212462386375981</v>
      </c>
    </row>
    <row r="13" spans="1:8" ht="27" thickBot="1" x14ac:dyDescent="0.35">
      <c r="B13" s="13" t="s">
        <v>29</v>
      </c>
      <c r="C13" s="13" t="s">
        <v>30</v>
      </c>
      <c r="D13" s="23">
        <v>0.25180555555555556</v>
      </c>
      <c r="E13" s="17">
        <f t="shared" si="2"/>
        <v>0.60433333333333328</v>
      </c>
      <c r="F13" s="20">
        <v>5</v>
      </c>
      <c r="G13" s="20">
        <f t="shared" si="0"/>
        <v>5.5216666666666665</v>
      </c>
      <c r="H13" s="3">
        <f t="shared" si="1"/>
        <v>0.73257427366318451</v>
      </c>
    </row>
    <row r="14" spans="1:8" ht="27" thickBot="1" x14ac:dyDescent="0.35">
      <c r="B14" s="13" t="s">
        <v>31</v>
      </c>
      <c r="C14" s="13" t="s">
        <v>32</v>
      </c>
      <c r="D14" s="23">
        <v>0.37638888888888888</v>
      </c>
      <c r="E14" s="17">
        <f t="shared" si="2"/>
        <v>0.90333333333333332</v>
      </c>
      <c r="F14" s="20">
        <v>8</v>
      </c>
      <c r="G14" s="20">
        <f t="shared" si="0"/>
        <v>8.5166666666666657</v>
      </c>
      <c r="H14" s="3">
        <f t="shared" si="1"/>
        <v>1.1299289279863787</v>
      </c>
    </row>
    <row r="15" spans="1:8" ht="25.2" customHeight="1" thickBot="1" x14ac:dyDescent="0.35">
      <c r="B15" s="13" t="s">
        <v>12</v>
      </c>
      <c r="C15" s="13" t="s">
        <v>33</v>
      </c>
      <c r="D15" s="23">
        <v>0.375</v>
      </c>
      <c r="E15" s="17">
        <f t="shared" si="2"/>
        <v>0.9</v>
      </c>
      <c r="F15" s="20">
        <v>7.5</v>
      </c>
      <c r="G15" s="20">
        <f t="shared" si="0"/>
        <v>8.25</v>
      </c>
      <c r="H15" s="3">
        <f t="shared" si="1"/>
        <v>1.0945495486365118</v>
      </c>
    </row>
    <row r="16" spans="1:8" ht="27" thickBot="1" x14ac:dyDescent="0.35">
      <c r="B16" s="13" t="s">
        <v>34</v>
      </c>
      <c r="C16" s="13" t="s">
        <v>35</v>
      </c>
      <c r="D16" s="23">
        <v>0.41842592592592592</v>
      </c>
      <c r="E16" s="17">
        <f t="shared" si="2"/>
        <v>1.0042222222222221</v>
      </c>
      <c r="F16" s="20">
        <v>8.5</v>
      </c>
      <c r="G16" s="20">
        <f t="shared" si="0"/>
        <v>9.2711111111111109</v>
      </c>
      <c r="H16" s="3">
        <f t="shared" si="1"/>
        <v>1.2300230887303776</v>
      </c>
    </row>
    <row r="17" spans="1:8" ht="27" thickBot="1" x14ac:dyDescent="0.35">
      <c r="B17" s="13" t="s">
        <v>36</v>
      </c>
      <c r="C17" s="13" t="s">
        <v>37</v>
      </c>
      <c r="D17" s="23">
        <v>0.32878472222222221</v>
      </c>
      <c r="E17" s="17">
        <f t="shared" si="2"/>
        <v>0.78908333333333336</v>
      </c>
      <c r="F17" s="20">
        <v>7.5</v>
      </c>
      <c r="G17" s="20">
        <f t="shared" si="0"/>
        <v>7.6954166666666666</v>
      </c>
      <c r="H17" s="3">
        <f t="shared" si="1"/>
        <v>1.020971495644835</v>
      </c>
    </row>
    <row r="18" spans="1:8" ht="27" thickBot="1" x14ac:dyDescent="0.35">
      <c r="B18" s="13" t="s">
        <v>38</v>
      </c>
      <c r="C18" s="13" t="s">
        <v>39</v>
      </c>
      <c r="D18" s="23">
        <v>0.16666666666666666</v>
      </c>
      <c r="E18" s="17">
        <f t="shared" si="2"/>
        <v>0.4</v>
      </c>
      <c r="F18" s="20">
        <v>8</v>
      </c>
      <c r="G18" s="20">
        <f t="shared" si="0"/>
        <v>6</v>
      </c>
      <c r="H18" s="3">
        <f t="shared" si="1"/>
        <v>0.79603603537200851</v>
      </c>
    </row>
    <row r="19" spans="1:8" ht="27" thickBot="1" x14ac:dyDescent="0.35">
      <c r="B19" s="13" t="s">
        <v>40</v>
      </c>
      <c r="C19" s="13" t="s">
        <v>41</v>
      </c>
      <c r="D19" s="23">
        <v>0.19444444444444445</v>
      </c>
      <c r="E19" s="17">
        <f t="shared" si="2"/>
        <v>0.46666666666666667</v>
      </c>
      <c r="F19" s="20">
        <v>7.5</v>
      </c>
      <c r="G19" s="20">
        <f t="shared" si="0"/>
        <v>6.0833333333333339</v>
      </c>
      <c r="H19" s="3">
        <f t="shared" si="1"/>
        <v>0.80709209141884208</v>
      </c>
    </row>
    <row r="20" spans="1:8" ht="15" thickBot="1" x14ac:dyDescent="0.35">
      <c r="B20" s="13" t="s">
        <v>36</v>
      </c>
      <c r="C20" s="13" t="s">
        <v>42</v>
      </c>
      <c r="D20" s="31">
        <v>0.32444444444444442</v>
      </c>
      <c r="E20" s="17">
        <f t="shared" si="2"/>
        <v>0.77866666666666662</v>
      </c>
      <c r="F20" s="20">
        <v>8</v>
      </c>
      <c r="G20" s="20">
        <f>((E20*10)+F20)/2</f>
        <v>7.8933333333333326</v>
      </c>
      <c r="H20" s="3">
        <f t="shared" si="1"/>
        <v>1.0472296287560645</v>
      </c>
    </row>
    <row r="21" spans="1:8" ht="27" thickBot="1" x14ac:dyDescent="0.35">
      <c r="B21" s="13" t="s">
        <v>43</v>
      </c>
      <c r="C21" s="13" t="s">
        <v>44</v>
      </c>
      <c r="D21" s="23">
        <v>0.16666666666666666</v>
      </c>
      <c r="E21" s="17">
        <f t="shared" si="2"/>
        <v>0.4</v>
      </c>
      <c r="F21" s="20">
        <v>4</v>
      </c>
      <c r="G21" s="20">
        <f t="shared" si="0"/>
        <v>4</v>
      </c>
      <c r="H21" s="3">
        <f t="shared" si="1"/>
        <v>0.53069069024800564</v>
      </c>
    </row>
    <row r="22" spans="1:8" ht="15" thickBot="1" x14ac:dyDescent="0.35">
      <c r="B22" s="13"/>
      <c r="C22" s="13"/>
      <c r="D22" s="14"/>
      <c r="E22" s="14"/>
      <c r="F22" s="14"/>
      <c r="G22" s="14"/>
      <c r="H22" s="3"/>
    </row>
    <row r="23" spans="1:8" ht="15" thickBot="1" x14ac:dyDescent="0.35">
      <c r="B23" s="13"/>
      <c r="C23" s="13"/>
      <c r="D23" s="14"/>
      <c r="E23" s="14"/>
      <c r="F23" s="14"/>
      <c r="G23" s="14"/>
      <c r="H23" s="3"/>
    </row>
    <row r="24" spans="1:8" ht="15" thickBot="1" x14ac:dyDescent="0.35">
      <c r="B24" s="13"/>
      <c r="C24" s="13"/>
      <c r="D24" s="14"/>
      <c r="E24" s="14"/>
      <c r="F24" s="14"/>
      <c r="G24" s="14"/>
      <c r="H24" s="3"/>
    </row>
    <row r="25" spans="1:8" ht="15" thickBot="1" x14ac:dyDescent="0.35">
      <c r="B25" s="13"/>
      <c r="C25" s="13"/>
      <c r="D25" s="14"/>
      <c r="E25" s="14"/>
      <c r="F25" s="14"/>
      <c r="G25" s="14"/>
      <c r="H25" s="3"/>
    </row>
    <row r="26" spans="1:8" ht="15" thickBot="1" x14ac:dyDescent="0.35">
      <c r="C26" s="21"/>
      <c r="D26" s="2" t="s">
        <v>71</v>
      </c>
      <c r="E26" s="2" t="s">
        <v>73</v>
      </c>
      <c r="F26" s="15" t="s">
        <v>47</v>
      </c>
      <c r="G26" s="2" t="s">
        <v>48</v>
      </c>
      <c r="H26" s="2"/>
    </row>
    <row r="27" spans="1:8" x14ac:dyDescent="0.3">
      <c r="A27" t="s">
        <v>49</v>
      </c>
      <c r="B27" s="21">
        <v>20</v>
      </c>
      <c r="C27" s="12"/>
      <c r="D27" s="2"/>
      <c r="H27" s="2"/>
    </row>
    <row r="28" spans="1:8" x14ac:dyDescent="0.3">
      <c r="C28" s="26" t="s">
        <v>50</v>
      </c>
      <c r="D28" s="27"/>
      <c r="E28" s="27"/>
      <c r="H28" s="6">
        <f>SUM(H2:H21)/20</f>
        <v>0.99999999999999967</v>
      </c>
    </row>
    <row r="29" spans="1:8" x14ac:dyDescent="0.3">
      <c r="D29" s="7"/>
      <c r="H29" s="7">
        <f>1-H28</f>
        <v>0</v>
      </c>
    </row>
  </sheetData>
  <mergeCells count="1">
    <mergeCell ref="C28:E28"/>
  </mergeCells>
  <conditionalFormatting sqref="C28">
    <cfRule type="cellIs" dxfId="15" priority="13" operator="equal">
      <formula>1</formula>
    </cfRule>
    <cfRule type="cellIs" dxfId="14" priority="14" operator="equal">
      <formula>0</formula>
    </cfRule>
    <cfRule type="cellIs" dxfId="13" priority="15" operator="lessThan">
      <formula>1</formula>
    </cfRule>
    <cfRule type="cellIs" dxfId="12" priority="16" operator="greaterThan">
      <formula>1</formula>
    </cfRule>
  </conditionalFormatting>
  <conditionalFormatting sqref="D29">
    <cfRule type="cellIs" dxfId="11" priority="9" operator="equal">
      <formula>""</formula>
    </cfRule>
    <cfRule type="cellIs" dxfId="10" priority="10" operator="equal">
      <formula>0</formula>
    </cfRule>
    <cfRule type="cellIs" dxfId="9" priority="11" operator="greaterThan">
      <formula>0</formula>
    </cfRule>
    <cfRule type="cellIs" dxfId="8" priority="12" operator="lessThan">
      <formula>0</formula>
    </cfRule>
  </conditionalFormatting>
  <conditionalFormatting sqref="H28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H29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hyperlinks>
    <hyperlink ref="F26" r:id="rId1" xr:uid="{2B26A2F5-EA3E-4925-B6C3-7ACCEEE9AD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  <vt:lpstr>Comentarios sobre #WPL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MONTES</dc:creator>
  <cp:lastModifiedBy>CELIA DEL PILAR DORANTES RUIZ</cp:lastModifiedBy>
  <dcterms:created xsi:type="dcterms:W3CDTF">2026-02-12T07:56:44Z</dcterms:created>
  <dcterms:modified xsi:type="dcterms:W3CDTF">2026-05-20T14:58:41Z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0x01010099E9797445E2EA4280A45CB90FD95CBD</vt:lpwstr>
  </property>
</Properties>
</file>
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ergi\Desktop\ISPP-G8\ISPP-G8\docs\Sprint 3\"/>
    </mc:Choice>
  </mc:AlternateContent>
  <xr:revisionPtr revIDLastSave="0" documentId="13_ncr:1_{26B337DF-AFBC-4329-8C3C-AEE66C9730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23" i="1" l="1"/>
  <c r="C23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C24" i="1" s="1"/>
  <c r="E27" i="1" l="1"/>
  <c r="E26" i="1"/>
  <c r="E3" i="1"/>
  <c r="E8" i="1"/>
  <c r="E12" i="1"/>
  <c r="E16" i="1"/>
  <c r="E20" i="1"/>
  <c r="E24" i="1"/>
  <c r="E5" i="1"/>
  <c r="E9" i="1"/>
  <c r="E13" i="1"/>
  <c r="E17" i="1"/>
  <c r="E21" i="1"/>
  <c r="E25" i="1"/>
  <c r="E2" i="1"/>
  <c r="E6" i="1"/>
  <c r="E10" i="1"/>
  <c r="E14" i="1"/>
  <c r="E18" i="1"/>
  <c r="E22" i="1"/>
  <c r="E4" i="1"/>
  <c r="E7" i="1"/>
  <c r="E11" i="1"/>
  <c r="E15" i="1"/>
  <c r="E19" i="1"/>
  <c r="E23" i="1"/>
</calcChain>
</file>

<file path=xl/sharedStrings.xml><?xml version="1.0" encoding="utf-8"?>
<sst xmlns="http://schemas.openxmlformats.org/spreadsheetml/2006/main" count="85" uniqueCount="82">
  <si>
    <t>Nombre</t>
  </si>
  <si>
    <t>Apellidos</t>
  </si>
  <si>
    <t>Horas Clockify</t>
  </si>
  <si>
    <t>Santia</t>
  </si>
  <si>
    <t>Bregu</t>
  </si>
  <si>
    <t>Pablo</t>
  </si>
  <si>
    <t>Arrabal Hermoso</t>
  </si>
  <si>
    <t>Manuel</t>
  </si>
  <si>
    <t>Zoilo Buzon Muñoz</t>
  </si>
  <si>
    <t>Chica Lopez</t>
  </si>
  <si>
    <t>Celia del Pilar</t>
  </si>
  <si>
    <t>Dorantes Ruiz</t>
  </si>
  <si>
    <t>Santiago</t>
  </si>
  <si>
    <t>Fernandez Roman</t>
  </si>
  <si>
    <t>Raquel</t>
  </si>
  <si>
    <t xml:space="preserve"> García Hortal</t>
  </si>
  <si>
    <t>Oscar</t>
  </si>
  <si>
    <t xml:space="preserve"> Gomez Gonzalez</t>
  </si>
  <si>
    <t xml:space="preserve"> Manuel</t>
  </si>
  <si>
    <t xml:space="preserve"> Lavado Corredera</t>
  </si>
  <si>
    <t>Guillermo</t>
  </si>
  <si>
    <t>Linares Borrego</t>
  </si>
  <si>
    <t xml:space="preserve"> Ana</t>
  </si>
  <si>
    <t>Martin Carrillo</t>
  </si>
  <si>
    <t xml:space="preserve"> Miguel</t>
  </si>
  <si>
    <t>Arturo Mir Ceballos</t>
  </si>
  <si>
    <t xml:space="preserve"> Roberto</t>
  </si>
  <si>
    <t>Muñoz Perez</t>
  </si>
  <si>
    <t xml:space="preserve"> Orta Perez</t>
  </si>
  <si>
    <t xml:space="preserve"> Javier</t>
  </si>
  <si>
    <t xml:space="preserve"> Pallarés González</t>
  </si>
  <si>
    <t xml:space="preserve"> Dario</t>
  </si>
  <si>
    <t xml:space="preserve"> Rodriguez Sastre</t>
  </si>
  <si>
    <t>Jose Maria</t>
  </si>
  <si>
    <t>Silva Guzman</t>
  </si>
  <si>
    <t>Sergio</t>
  </si>
  <si>
    <t xml:space="preserve"> Terrazas Lobato</t>
  </si>
  <si>
    <t>Zafra Ruiz</t>
  </si>
  <si>
    <t>Jose</t>
  </si>
  <si>
    <t>Egido Carnereo</t>
  </si>
  <si>
    <t>Media:</t>
  </si>
  <si>
    <t>Desviación Estándar:</t>
  </si>
  <si>
    <t>Horas de Dedicación</t>
  </si>
  <si>
    <t>Densidad de Probabilidad</t>
  </si>
  <si>
    <t>Métrica</t>
  </si>
  <si>
    <t>Valor</t>
  </si>
  <si>
    <t>Estado</t>
  </si>
  <si>
    <t>Observación</t>
  </si>
  <si>
    <t>Media Semanal</t>
  </si>
  <si>
    <t>9.3h</t>
  </si>
  <si>
    <t>🟡</t>
  </si>
  <si>
    <t>Muy cerca del objetivo de 10h.</t>
  </si>
  <si>
    <t>Desviación ($\sigma$)</t>
  </si>
  <si>
    <t>5.8h</t>
  </si>
  <si>
    <t>⚪</t>
  </si>
  <si>
    <t>Alta dispersión por tareas críticas de larga duración.</t>
  </si>
  <si>
    <t>Cumplimiento</t>
  </si>
  <si>
    <t>🟢</t>
  </si>
  <si>
    <t>Disciplina total en el uso de Clockify.</t>
  </si>
  <si>
    <t>Notas total #S3 (metricas + clocki)</t>
  </si>
  <si>
    <t>Horas clocki decimal</t>
  </si>
  <si>
    <t>Iniciales</t>
  </si>
  <si>
    <t>SB</t>
  </si>
  <si>
    <t>PAH</t>
  </si>
  <si>
    <t>MZBM</t>
  </si>
  <si>
    <t>MCL</t>
  </si>
  <si>
    <t>SFR</t>
  </si>
  <si>
    <t>RGH</t>
  </si>
  <si>
    <t>OGG</t>
  </si>
  <si>
    <t>MLC</t>
  </si>
  <si>
    <t>GLB</t>
  </si>
  <si>
    <t>AMC</t>
  </si>
  <si>
    <t>RMP</t>
  </si>
  <si>
    <t>MOP</t>
  </si>
  <si>
    <t>JPG</t>
  </si>
  <si>
    <t>DRS</t>
  </si>
  <si>
    <t>STL</t>
  </si>
  <si>
    <t>DZR</t>
  </si>
  <si>
    <t>JEC</t>
  </si>
  <si>
    <t>CPDR</t>
  </si>
  <si>
    <t>MAMC</t>
  </si>
  <si>
    <t>JMSG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</si>
</sst>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7"/>
      <name val="Calibri"/>
      <family val="2"/>
      <scheme val="minor"/>
    </font>
    <font>
      <sz val="10"/>
      <color theme="1"/>
      <name val="Arial"/>
      <family val="2"/>
    </font>
    <font>
      <sz val="11"/>
      <color theme="1" tint="0.499984740745262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 wrapText="1"/>
    </xf>
    <xf numFmtId="0" fontId="0" fillId="0" borderId="2" xfId="0" applyBorder="1"/>
    <xf numFmtId="2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6" fontId="7" fillId="0" borderId="1" xfId="0" applyNumberFormat="1" applyFont="1" applyBorder="1" applyAlignment="1">
      <alignment horizontal="center" vertical="center"/>
    </xf>
    <xf numFmtId="21" fontId="4" fillId="0" borderId="1" xfId="0" applyNumberFormat="1" applyFont="1" applyBorder="1" applyAlignment="1">
      <alignment horizontal="center" vertical="center"/>
    </xf>
    <xf numFmtId="46" fontId="4" fillId="0" borderId="1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Distribución del Esfuerzo Sprint 3 (Clockify)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Hoja1!$D$2:$D$27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Hoja1!$E$2:$E$27</c:f>
              <c:numCache>
                <c:formatCode>General</c:formatCode>
                <c:ptCount val="26"/>
                <c:pt idx="0">
                  <c:v>4.3713038460770458E-11</c:v>
                </c:pt>
                <c:pt idx="1">
                  <c:v>5.7559883120714852E-53</c:v>
                </c:pt>
                <c:pt idx="2">
                  <c:v>2.1136926964831163E-9</c:v>
                </c:pt>
                <c:pt idx="3">
                  <c:v>1.2743842444124381E-8</c:v>
                </c:pt>
                <c:pt idx="4">
                  <c:v>6.986414591047768E-8</c:v>
                </c:pt>
                <c:pt idx="5">
                  <c:v>3.4826010669490693E-7</c:v>
                </c:pt>
                <c:pt idx="6">
                  <c:v>1.578514287755503E-6</c:v>
                </c:pt>
                <c:pt idx="7">
                  <c:v>6.505620412120747E-6</c:v>
                </c:pt>
                <c:pt idx="8">
                  <c:v>2.4379474261639829E-5</c:v>
                </c:pt>
                <c:pt idx="9">
                  <c:v>8.3072133835089082E-5</c:v>
                </c:pt>
                <c:pt idx="10">
                  <c:v>2.5738415663641644E-4</c:v>
                </c:pt>
                <c:pt idx="11">
                  <c:v>7.2510962227717211E-4</c:v>
                </c:pt>
                <c:pt idx="12">
                  <c:v>1.857466287800437E-3</c:v>
                </c:pt>
                <c:pt idx="13">
                  <c:v>4.3264692974432006E-3</c:v>
                </c:pt>
                <c:pt idx="14">
                  <c:v>9.1630852244853431E-3</c:v>
                </c:pt>
                <c:pt idx="15">
                  <c:v>1.7645957933964701E-2</c:v>
                </c:pt>
                <c:pt idx="16">
                  <c:v>3.089898170251024E-2</c:v>
                </c:pt>
                <c:pt idx="17">
                  <c:v>4.919698732485428E-2</c:v>
                </c:pt>
                <c:pt idx="18">
                  <c:v>7.1224312215280444E-2</c:v>
                </c:pt>
                <c:pt idx="19">
                  <c:v>9.3759100775129084E-2</c:v>
                </c:pt>
                <c:pt idx="20">
                  <c:v>0.11222613768124692</c:v>
                </c:pt>
                <c:pt idx="21">
                  <c:v>0.12214340252238683</c:v>
                </c:pt>
                <c:pt idx="22">
                  <c:v>0.1208763743376253</c:v>
                </c:pt>
                <c:pt idx="23">
                  <c:v>0.10876977995447078</c:v>
                </c:pt>
                <c:pt idx="24">
                  <c:v>8.8996000304417122E-2</c:v>
                </c:pt>
                <c:pt idx="25">
                  <c:v>6.621069424473329E-2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E7-4C24-9B31-2AB618587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329568"/>
        <c:axId val="1404319488"/>
      </c:scatterChart>
      <c:valAx>
        <c:axId val="140432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4319488"/>
        <c:crosses val="autoZero"/>
        <c:crossBetween val="midCat"/>
      </c:valAx>
      <c:valAx>
        <c:axId val="1404319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baseline="0"/>
                  <a:t>Densidad de Probabilidad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432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Matriz de Productividad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Notas total #S3 (metricas + clocki)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A804517-FF46-48C7-9410-FE78A09E520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F54-4DB1-A969-2A7B67D1B02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4900C9D-E584-4868-91A1-371D47273435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F54-4DB1-A969-2A7B67D1B02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8D3E1D2-E42C-4F26-BA6C-F131932F424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F54-4DB1-A969-2A7B67D1B02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2C2A694-06FA-4912-B981-011653074F6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F54-4DB1-A969-2A7B67D1B02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4C00CC8-8665-490F-9EFD-9858B62B756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F54-4DB1-A969-2A7B67D1B02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C8192ED-B699-4DF8-9A84-1BB689A8A0E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F54-4DB1-A969-2A7B67D1B02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1FB38A1-E69A-45A8-AE44-FDF01E42F4B9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F54-4DB1-A969-2A7B67D1B02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6BA07BA-CFC1-4083-999F-4824C47F9E79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F54-4DB1-A969-2A7B67D1B02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A802431-1B0E-4331-8E9C-D849AF48550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F54-4DB1-A969-2A7B67D1B02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0D396B5-1305-46BF-AC36-BB3D200B56B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F54-4DB1-A969-2A7B67D1B02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C94933E-3392-4330-8BD3-919C1622A00C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F54-4DB1-A969-2A7B67D1B02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CA65CA7-B938-46F4-AD98-888978D7DD1C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F54-4DB1-A969-2A7B67D1B02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C8CC19F-6122-475F-9E9E-FF0547C1978D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F54-4DB1-A969-2A7B67D1B02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5AC2679-DDB3-4C70-A7F3-14BEC86B2919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F54-4DB1-A969-2A7B67D1B02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737DE59-45B0-4D0A-B657-C99BB9EE5B8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F54-4DB1-A969-2A7B67D1B02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4155E30-006C-43EA-9700-2C6A82A11C7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F54-4DB1-A969-2A7B67D1B02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B033ED4-D438-48C8-A79B-7287DBF43F3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F54-4DB1-A969-2A7B67D1B02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67BF5FF-AC44-4048-9102-61C65668ECA8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F54-4DB1-A969-2A7B67D1B02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49A65CE-6CF5-476B-A583-8E8CFEDC796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F54-4DB1-A969-2A7B67D1B02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8DB27D1-270E-4FBB-97C5-C4EBEFC1377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F54-4DB1-A969-2A7B67D1B0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Hoja1!$F$2:$F$21</c:f>
              <c:numCache>
                <c:formatCode>0.00</c:formatCode>
                <c:ptCount val="20"/>
                <c:pt idx="0">
                  <c:v>31.709166666666665</c:v>
                </c:pt>
                <c:pt idx="1">
                  <c:v>21.015833333333333</c:v>
                </c:pt>
                <c:pt idx="2">
                  <c:v>25.759999999999998</c:v>
                </c:pt>
                <c:pt idx="3">
                  <c:v>19.058055555555555</c:v>
                </c:pt>
                <c:pt idx="4">
                  <c:v>22.0075</c:v>
                </c:pt>
                <c:pt idx="5">
                  <c:v>22.086944444444445</c:v>
                </c:pt>
                <c:pt idx="6">
                  <c:v>23.35</c:v>
                </c:pt>
                <c:pt idx="7">
                  <c:v>18.352777777777778</c:v>
                </c:pt>
                <c:pt idx="8">
                  <c:v>19.583333333333332</c:v>
                </c:pt>
                <c:pt idx="9">
                  <c:v>20.035555555555554</c:v>
                </c:pt>
                <c:pt idx="10">
                  <c:v>18.179722222222221</c:v>
                </c:pt>
                <c:pt idx="11">
                  <c:v>21</c:v>
                </c:pt>
                <c:pt idx="12">
                  <c:v>22.527777777777779</c:v>
                </c:pt>
                <c:pt idx="13">
                  <c:v>25.110277777777782</c:v>
                </c:pt>
                <c:pt idx="14">
                  <c:v>17.981666666666666</c:v>
                </c:pt>
                <c:pt idx="15">
                  <c:v>19.41138888888889</c:v>
                </c:pt>
                <c:pt idx="16">
                  <c:v>22.969444444444445</c:v>
                </c:pt>
                <c:pt idx="17">
                  <c:v>19.166666666666668</c:v>
                </c:pt>
                <c:pt idx="18">
                  <c:v>20.341388888888886</c:v>
                </c:pt>
                <c:pt idx="19">
                  <c:v>18.159722222222221</c:v>
                </c:pt>
              </c:numCache>
            </c:numRef>
          </c:xVal>
          <c:yVal>
            <c:numRef>
              <c:f>Hoja1!$G$2:$G$21</c:f>
              <c:numCache>
                <c:formatCode>0.00</c:formatCode>
                <c:ptCount val="20"/>
                <c:pt idx="0">
                  <c:v>15.854583333551897</c:v>
                </c:pt>
                <c:pt idx="1">
                  <c:v>10.507916666666667</c:v>
                </c:pt>
                <c:pt idx="2">
                  <c:v>12.880000010568462</c:v>
                </c:pt>
                <c:pt idx="3">
                  <c:v>9.5290278414969904</c:v>
                </c:pt>
                <c:pt idx="4">
                  <c:v>11.003750349320729</c:v>
                </c:pt>
                <c:pt idx="5">
                  <c:v>11.043473963522755</c:v>
                </c:pt>
                <c:pt idx="6">
                  <c:v>11.67500789257144</c:v>
                </c:pt>
                <c:pt idx="7">
                  <c:v>9.1764214169909497</c:v>
                </c:pt>
                <c:pt idx="8">
                  <c:v>9.791788564037974</c:v>
                </c:pt>
                <c:pt idx="9">
                  <c:v>10.018193138446952</c:v>
                </c:pt>
                <c:pt idx="10">
                  <c:v>9.0911480318942921</c:v>
                </c:pt>
                <c:pt idx="11">
                  <c:v>10.503625548111385</c:v>
                </c:pt>
                <c:pt idx="12">
                  <c:v>11.273176220327892</c:v>
                </c:pt>
                <c:pt idx="13">
                  <c:v>12.576771235376107</c:v>
                </c:pt>
                <c:pt idx="14">
                  <c:v>9.0366487594557601</c:v>
                </c:pt>
                <c:pt idx="15">
                  <c:v>9.793924234114268</c:v>
                </c:pt>
                <c:pt idx="16">
                  <c:v>11.639217130734774</c:v>
                </c:pt>
                <c:pt idx="17">
                  <c:v>9.8293182699576054</c:v>
                </c:pt>
                <c:pt idx="18">
                  <c:v>10.526816005520846</c:v>
                </c:pt>
                <c:pt idx="19">
                  <c:v>9.548656614986756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Hoja1!$H$2:$H$21</c15:f>
                <c15:dlblRangeCache>
                  <c:ptCount val="20"/>
                  <c:pt idx="0">
                    <c:v>SB</c:v>
                  </c:pt>
                  <c:pt idx="1">
                    <c:v>PAH</c:v>
                  </c:pt>
                  <c:pt idx="2">
                    <c:v>MZBM</c:v>
                  </c:pt>
                  <c:pt idx="3">
                    <c:v>MCL</c:v>
                  </c:pt>
                  <c:pt idx="4">
                    <c:v>CPDR</c:v>
                  </c:pt>
                  <c:pt idx="5">
                    <c:v>SFR</c:v>
                  </c:pt>
                  <c:pt idx="6">
                    <c:v>RGH</c:v>
                  </c:pt>
                  <c:pt idx="7">
                    <c:v>OGG</c:v>
                  </c:pt>
                  <c:pt idx="8">
                    <c:v>MLC</c:v>
                  </c:pt>
                  <c:pt idx="9">
                    <c:v>GLB</c:v>
                  </c:pt>
                  <c:pt idx="10">
                    <c:v>AMC</c:v>
                  </c:pt>
                  <c:pt idx="11">
                    <c:v>MAMC</c:v>
                  </c:pt>
                  <c:pt idx="12">
                    <c:v>RMP</c:v>
                  </c:pt>
                  <c:pt idx="13">
                    <c:v>MOP</c:v>
                  </c:pt>
                  <c:pt idx="14">
                    <c:v>JPG</c:v>
                  </c:pt>
                  <c:pt idx="15">
                    <c:v>DRS</c:v>
                  </c:pt>
                  <c:pt idx="16">
                    <c:v>JMSG</c:v>
                  </c:pt>
                  <c:pt idx="17">
                    <c:v>STL</c:v>
                  </c:pt>
                  <c:pt idx="18">
                    <c:v>DZR</c:v>
                  </c:pt>
                  <c:pt idx="19">
                    <c:v>JEC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F54-4DB1-A969-2A7B67D1B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352608"/>
        <c:axId val="1404363648"/>
      </c:scatterChart>
      <c:valAx>
        <c:axId val="140435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Dedicación (Horas Clockify).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4363648"/>
        <c:crossesAt val="8"/>
        <c:crossBetween val="midCat"/>
      </c:valAx>
      <c:valAx>
        <c:axId val="14043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baseline="0"/>
                  <a:t>Índice de Desempeño.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4352608"/>
        <c:crossesAt val="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4762</xdr:rowOff>
    </xdr:from>
    <xdr:to>
      <xdr:col>16</xdr:col>
      <xdr:colOff>314325</xdr:colOff>
      <xdr:row>15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472396-EC24-E6A3-DE42-97BE00A6A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18</xdr:row>
      <xdr:rowOff>4762</xdr:rowOff>
    </xdr:from>
    <xdr:to>
      <xdr:col>17</xdr:col>
      <xdr:colOff>581024</xdr:colOff>
      <xdr:row>35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0FA2F2-0D88-CD60-8FFE-7F57D2FB2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topLeftCell="D1" workbookViewId="0">
      <selection activeCell="R20" sqref="R20"/>
    </sheetView>
  </sheetViews>
  <sheetFormatPr baseColWidth="10" defaultColWidth="9.140625" defaultRowHeight="15" x14ac:dyDescent="0.25"/>
  <cols>
    <col min="1" max="1" width="16.28515625" customWidth="1"/>
    <col min="2" max="2" width="24.42578125" customWidth="1"/>
    <col min="3" max="3" width="23" customWidth="1"/>
    <col min="4" max="4" width="18.7109375" customWidth="1"/>
    <col min="5" max="5" width="24.7109375" customWidth="1"/>
    <col min="6" max="6" width="19.42578125" customWidth="1"/>
    <col min="7" max="7" width="17.140625" customWidth="1"/>
    <col min="8" max="8" width="12.28515625" customWidth="1"/>
    <col min="9" max="10" width="9.140625" customWidth="1"/>
    <col min="12" max="12" width="9.140625" customWidth="1"/>
    <col min="18" max="18" width="21" customWidth="1"/>
    <col min="19" max="19" width="10.85546875" customWidth="1"/>
    <col min="21" max="21" width="48.5703125" customWidth="1"/>
  </cols>
  <sheetData>
    <row r="1" spans="1:21" ht="24" x14ac:dyDescent="0.25">
      <c r="A1" s="14" t="s">
        <v>0</v>
      </c>
      <c r="B1" s="14" t="s">
        <v>1</v>
      </c>
      <c r="C1" s="14" t="s">
        <v>2</v>
      </c>
      <c r="D1" s="14" t="s">
        <v>42</v>
      </c>
      <c r="E1" s="14" t="s">
        <v>43</v>
      </c>
      <c r="F1" s="14" t="s">
        <v>60</v>
      </c>
      <c r="G1" s="20" t="s">
        <v>59</v>
      </c>
      <c r="H1" s="14" t="s">
        <v>61</v>
      </c>
    </row>
    <row r="2" spans="1:21" x14ac:dyDescent="0.25">
      <c r="A2" s="1" t="s">
        <v>3</v>
      </c>
      <c r="B2" s="1" t="s">
        <v>4</v>
      </c>
      <c r="C2" s="15">
        <v>1.3212152777777777</v>
      </c>
      <c r="D2" s="1">
        <v>0</v>
      </c>
      <c r="E2" s="1">
        <f>_xlfn.NORM.DIST(D2, C23, C24, FALSE)</f>
        <v>4.3713038460770458E-11</v>
      </c>
      <c r="F2" s="18">
        <f>C2*24</f>
        <v>31.709166666666665</v>
      </c>
      <c r="G2" s="5">
        <f>((E2*10)+F2)/2</f>
        <v>15.854583333551897</v>
      </c>
      <c r="H2" s="19" t="s">
        <v>62</v>
      </c>
    </row>
    <row r="3" spans="1:21" x14ac:dyDescent="0.25">
      <c r="A3" s="1" t="s">
        <v>5</v>
      </c>
      <c r="B3" s="1" t="s">
        <v>6</v>
      </c>
      <c r="C3" s="16">
        <v>0.87565972222222221</v>
      </c>
      <c r="D3" s="1">
        <v>1</v>
      </c>
      <c r="E3" s="1">
        <f>_xlfn.NORM.DIST(D3, C23, C2, FALSE)</f>
        <v>5.7559883120714852E-53</v>
      </c>
      <c r="F3" s="18">
        <f t="shared" ref="F3:F21" si="0">C3*24</f>
        <v>21.015833333333333</v>
      </c>
      <c r="G3" s="5">
        <f t="shared" ref="G3:G21" si="1">((E3*10)+F3)/2</f>
        <v>10.507916666666667</v>
      </c>
      <c r="H3" s="19" t="s">
        <v>63</v>
      </c>
    </row>
    <row r="4" spans="1:21" x14ac:dyDescent="0.25">
      <c r="A4" s="1" t="s">
        <v>7</v>
      </c>
      <c r="B4" s="1" t="s">
        <v>8</v>
      </c>
      <c r="C4" s="17">
        <v>1.0733333333333333</v>
      </c>
      <c r="D4" s="1">
        <v>2</v>
      </c>
      <c r="E4" s="1">
        <f>_xlfn.NORM.DIST(D4, C23, C24, FALSE)</f>
        <v>2.1136926964831163E-9</v>
      </c>
      <c r="F4" s="18">
        <f t="shared" si="0"/>
        <v>25.759999999999998</v>
      </c>
      <c r="G4" s="5">
        <f t="shared" si="1"/>
        <v>12.880000010568462</v>
      </c>
      <c r="H4" s="19" t="s">
        <v>64</v>
      </c>
    </row>
    <row r="5" spans="1:21" x14ac:dyDescent="0.25">
      <c r="A5" s="1" t="s">
        <v>7</v>
      </c>
      <c r="B5" s="1" t="s">
        <v>9</v>
      </c>
      <c r="C5" s="16">
        <v>0.79408564814814819</v>
      </c>
      <c r="D5" s="1">
        <v>3</v>
      </c>
      <c r="E5" s="1">
        <f>_xlfn.NORM.DIST(D5, C23, C24, FALSE)</f>
        <v>1.2743842444124381E-8</v>
      </c>
      <c r="F5" s="18">
        <f t="shared" si="0"/>
        <v>19.058055555555555</v>
      </c>
      <c r="G5" s="5">
        <f t="shared" si="1"/>
        <v>9.5290278414969904</v>
      </c>
      <c r="H5" s="19" t="s">
        <v>65</v>
      </c>
    </row>
    <row r="6" spans="1:21" x14ac:dyDescent="0.25">
      <c r="A6" s="1" t="s">
        <v>10</v>
      </c>
      <c r="B6" s="1" t="s">
        <v>11</v>
      </c>
      <c r="C6" s="16">
        <v>0.91697916666666668</v>
      </c>
      <c r="D6" s="1">
        <v>4</v>
      </c>
      <c r="E6" s="1">
        <f>_xlfn.NORM.DIST(D6, C23, C24, FALSE)</f>
        <v>6.986414591047768E-8</v>
      </c>
      <c r="F6" s="18">
        <f t="shared" si="0"/>
        <v>22.0075</v>
      </c>
      <c r="G6" s="5">
        <f t="shared" si="1"/>
        <v>11.003750349320729</v>
      </c>
      <c r="H6" s="19" t="s">
        <v>79</v>
      </c>
    </row>
    <row r="7" spans="1:21" x14ac:dyDescent="0.25">
      <c r="A7" s="1" t="s">
        <v>12</v>
      </c>
      <c r="B7" s="1" t="s">
        <v>13</v>
      </c>
      <c r="C7" s="16">
        <v>0.9202893518518519</v>
      </c>
      <c r="D7" s="1">
        <v>5</v>
      </c>
      <c r="E7" s="1">
        <f>_xlfn.NORM.DIST(D7, C23, C24, FALSE)</f>
        <v>3.4826010669490693E-7</v>
      </c>
      <c r="F7" s="18">
        <f t="shared" si="0"/>
        <v>22.086944444444445</v>
      </c>
      <c r="G7" s="5">
        <f t="shared" si="1"/>
        <v>11.043473963522755</v>
      </c>
      <c r="H7" s="19" t="s">
        <v>66</v>
      </c>
    </row>
    <row r="8" spans="1:21" x14ac:dyDescent="0.25">
      <c r="A8" s="1" t="s">
        <v>14</v>
      </c>
      <c r="B8" s="1" t="s">
        <v>15</v>
      </c>
      <c r="C8" s="16">
        <v>0.97291666666666665</v>
      </c>
      <c r="D8" s="1">
        <v>6</v>
      </c>
      <c r="E8" s="1">
        <f>_xlfn.NORM.DIST(D8, C23, C24, FALSE)</f>
        <v>1.578514287755503E-6</v>
      </c>
      <c r="F8" s="18">
        <f t="shared" si="0"/>
        <v>23.35</v>
      </c>
      <c r="G8" s="5">
        <f t="shared" si="1"/>
        <v>11.67500789257144</v>
      </c>
      <c r="H8" s="19" t="s">
        <v>67</v>
      </c>
    </row>
    <row r="9" spans="1:21" x14ac:dyDescent="0.25">
      <c r="A9" s="1" t="s">
        <v>16</v>
      </c>
      <c r="B9" s="1" t="s">
        <v>17</v>
      </c>
      <c r="C9" s="16">
        <v>0.76469907407407411</v>
      </c>
      <c r="D9" s="1">
        <v>7</v>
      </c>
      <c r="E9" s="1">
        <f>_xlfn.NORM.DIST(D9, C23, C24, FALSE)</f>
        <v>6.505620412120747E-6</v>
      </c>
      <c r="F9" s="18">
        <f t="shared" si="0"/>
        <v>18.352777777777778</v>
      </c>
      <c r="G9" s="5">
        <f t="shared" si="1"/>
        <v>9.1764214169909497</v>
      </c>
      <c r="H9" s="19" t="s">
        <v>68</v>
      </c>
      <c r="R9" s="1" t="s">
        <v>44</v>
      </c>
      <c r="S9" s="1" t="s">
        <v>45</v>
      </c>
      <c r="T9" s="1" t="s">
        <v>46</v>
      </c>
      <c r="U9" s="1" t="s">
        <v>47</v>
      </c>
    </row>
    <row r="10" spans="1:21" x14ac:dyDescent="0.25">
      <c r="A10" s="1" t="s">
        <v>18</v>
      </c>
      <c r="B10" s="1" t="s">
        <v>19</v>
      </c>
      <c r="C10" s="16">
        <v>0.81597222222222221</v>
      </c>
      <c r="D10" s="1">
        <v>8</v>
      </c>
      <c r="E10" s="1">
        <f>_xlfn.NORM.DIST(D10, C23, C24, FALSE)</f>
        <v>2.4379474261639829E-5</v>
      </c>
      <c r="F10" s="18">
        <f t="shared" si="0"/>
        <v>19.583333333333332</v>
      </c>
      <c r="G10" s="5">
        <f t="shared" si="1"/>
        <v>9.791788564037974</v>
      </c>
      <c r="H10" s="19" t="s">
        <v>69</v>
      </c>
      <c r="R10" s="1" t="s">
        <v>48</v>
      </c>
      <c r="S10" s="1" t="s">
        <v>49</v>
      </c>
      <c r="T10" s="2" t="s">
        <v>50</v>
      </c>
      <c r="U10" s="1" t="s">
        <v>51</v>
      </c>
    </row>
    <row r="11" spans="1:21" x14ac:dyDescent="0.25">
      <c r="A11" s="1" t="s">
        <v>20</v>
      </c>
      <c r="B11" s="1" t="s">
        <v>21</v>
      </c>
      <c r="C11" s="16">
        <v>0.83481481481481479</v>
      </c>
      <c r="D11" s="1">
        <v>9</v>
      </c>
      <c r="E11" s="1">
        <f>_xlfn.NORM.DIST(D11, C23, C24, FALSE)</f>
        <v>8.3072133835089082E-5</v>
      </c>
      <c r="F11" s="18">
        <f t="shared" si="0"/>
        <v>20.035555555555554</v>
      </c>
      <c r="G11" s="5">
        <f t="shared" si="1"/>
        <v>10.018193138446952</v>
      </c>
      <c r="H11" s="19" t="s">
        <v>70</v>
      </c>
      <c r="R11" s="1" t="s">
        <v>52</v>
      </c>
      <c r="S11" s="1" t="s">
        <v>53</v>
      </c>
      <c r="T11" s="1" t="s">
        <v>54</v>
      </c>
      <c r="U11" s="1" t="s">
        <v>55</v>
      </c>
    </row>
    <row r="12" spans="1:21" x14ac:dyDescent="0.25">
      <c r="A12" s="1" t="s">
        <v>22</v>
      </c>
      <c r="B12" s="1" t="s">
        <v>23</v>
      </c>
      <c r="C12" s="16">
        <v>0.75748842592592591</v>
      </c>
      <c r="D12" s="1">
        <v>10</v>
      </c>
      <c r="E12" s="1">
        <f>_xlfn.NORM.DIST(D12, C23, C24, FALSE)</f>
        <v>2.5738415663641644E-4</v>
      </c>
      <c r="F12" s="18">
        <f t="shared" si="0"/>
        <v>18.179722222222221</v>
      </c>
      <c r="G12" s="5">
        <f t="shared" si="1"/>
        <v>9.0911480318942921</v>
      </c>
      <c r="H12" s="19" t="s">
        <v>71</v>
      </c>
      <c r="R12" s="1" t="s">
        <v>56</v>
      </c>
      <c r="S12" s="3">
        <v>1</v>
      </c>
      <c r="T12" s="4" t="s">
        <v>57</v>
      </c>
      <c r="U12" s="1" t="s">
        <v>58</v>
      </c>
    </row>
    <row r="13" spans="1:21" x14ac:dyDescent="0.25">
      <c r="A13" s="1" t="s">
        <v>24</v>
      </c>
      <c r="B13" s="1" t="s">
        <v>25</v>
      </c>
      <c r="C13" s="16">
        <v>0.875</v>
      </c>
      <c r="D13" s="1">
        <v>11</v>
      </c>
      <c r="E13" s="1">
        <f>_xlfn.NORM.DIST(D13, C23, C24, FALSE)</f>
        <v>7.2510962227717211E-4</v>
      </c>
      <c r="F13" s="18">
        <f t="shared" si="0"/>
        <v>21</v>
      </c>
      <c r="G13" s="5">
        <f t="shared" si="1"/>
        <v>10.503625548111385</v>
      </c>
      <c r="H13" s="19" t="s">
        <v>80</v>
      </c>
    </row>
    <row r="14" spans="1:21" x14ac:dyDescent="0.25">
      <c r="A14" s="1" t="s">
        <v>26</v>
      </c>
      <c r="B14" s="1" t="s">
        <v>27</v>
      </c>
      <c r="C14" s="16">
        <v>0.93865740740740744</v>
      </c>
      <c r="D14" s="1">
        <v>12</v>
      </c>
      <c r="E14" s="1">
        <f>_xlfn.NORM.DIST(D14, C23, C24, FALSE)</f>
        <v>1.857466287800437E-3</v>
      </c>
      <c r="F14" s="18">
        <f t="shared" si="0"/>
        <v>22.527777777777779</v>
      </c>
      <c r="G14" s="5">
        <f t="shared" si="1"/>
        <v>11.273176220327892</v>
      </c>
      <c r="H14" s="19" t="s">
        <v>72</v>
      </c>
    </row>
    <row r="15" spans="1:21" x14ac:dyDescent="0.25">
      <c r="A15" s="1" t="s">
        <v>7</v>
      </c>
      <c r="B15" s="1" t="s">
        <v>28</v>
      </c>
      <c r="C15" s="17">
        <v>1.0462615740740742</v>
      </c>
      <c r="D15" s="1">
        <v>13</v>
      </c>
      <c r="E15" s="1">
        <f>_xlfn.NORM.DIST(D15, C23, C24, FALSE)</f>
        <v>4.3264692974432006E-3</v>
      </c>
      <c r="F15" s="18">
        <f t="shared" si="0"/>
        <v>25.110277777777782</v>
      </c>
      <c r="G15" s="5">
        <f t="shared" si="1"/>
        <v>12.576771235376107</v>
      </c>
      <c r="H15" s="19" t="s">
        <v>73</v>
      </c>
    </row>
    <row r="16" spans="1:21" x14ac:dyDescent="0.25">
      <c r="A16" s="1" t="s">
        <v>29</v>
      </c>
      <c r="B16" s="1" t="s">
        <v>30</v>
      </c>
      <c r="C16" s="16">
        <v>0.7492361111111111</v>
      </c>
      <c r="D16" s="1">
        <v>14</v>
      </c>
      <c r="E16" s="1">
        <f>_xlfn.NORM.DIST(D16, C23, C24, FALSE)</f>
        <v>9.1630852244853431E-3</v>
      </c>
      <c r="F16" s="18">
        <f t="shared" si="0"/>
        <v>17.981666666666666</v>
      </c>
      <c r="G16" s="5">
        <f t="shared" si="1"/>
        <v>9.0366487594557601</v>
      </c>
      <c r="H16" s="19" t="s">
        <v>74</v>
      </c>
    </row>
    <row r="17" spans="1:8" x14ac:dyDescent="0.25">
      <c r="A17" s="1" t="s">
        <v>31</v>
      </c>
      <c r="B17" s="1" t="s">
        <v>32</v>
      </c>
      <c r="C17" s="16">
        <v>0.80880787037037039</v>
      </c>
      <c r="D17" s="1">
        <v>15</v>
      </c>
      <c r="E17" s="1">
        <f>_xlfn.NORM.DIST(D17, C23, C24, FALSE)</f>
        <v>1.7645957933964701E-2</v>
      </c>
      <c r="F17" s="18">
        <f t="shared" si="0"/>
        <v>19.41138888888889</v>
      </c>
      <c r="G17" s="5">
        <f t="shared" si="1"/>
        <v>9.793924234114268</v>
      </c>
      <c r="H17" s="19" t="s">
        <v>75</v>
      </c>
    </row>
    <row r="18" spans="1:8" x14ac:dyDescent="0.25">
      <c r="A18" s="1" t="s">
        <v>33</v>
      </c>
      <c r="B18" s="1" t="s">
        <v>34</v>
      </c>
      <c r="C18" s="16">
        <v>0.95706018518518521</v>
      </c>
      <c r="D18" s="1">
        <v>16</v>
      </c>
      <c r="E18" s="1">
        <f>_xlfn.NORM.DIST(D18, C23, C24, FALSE)</f>
        <v>3.089898170251024E-2</v>
      </c>
      <c r="F18" s="18">
        <f t="shared" si="0"/>
        <v>22.969444444444445</v>
      </c>
      <c r="G18" s="5">
        <f t="shared" si="1"/>
        <v>11.639217130734774</v>
      </c>
      <c r="H18" s="19" t="s">
        <v>81</v>
      </c>
    </row>
    <row r="19" spans="1:8" x14ac:dyDescent="0.25">
      <c r="A19" s="1" t="s">
        <v>35</v>
      </c>
      <c r="B19" s="1" t="s">
        <v>36</v>
      </c>
      <c r="C19" s="16">
        <v>0.79861111111111116</v>
      </c>
      <c r="D19" s="1">
        <v>17</v>
      </c>
      <c r="E19" s="1">
        <f>_xlfn.NORM.DIST(D19, C23, C24, FALSE)</f>
        <v>4.919698732485428E-2</v>
      </c>
      <c r="F19" s="18">
        <f t="shared" si="0"/>
        <v>19.166666666666668</v>
      </c>
      <c r="G19" s="5">
        <f t="shared" si="1"/>
        <v>9.8293182699576054</v>
      </c>
      <c r="H19" s="19" t="s">
        <v>76</v>
      </c>
    </row>
    <row r="20" spans="1:8" x14ac:dyDescent="0.25">
      <c r="A20" s="1" t="s">
        <v>31</v>
      </c>
      <c r="B20" s="1" t="s">
        <v>37</v>
      </c>
      <c r="C20" s="16">
        <v>0.84755787037037034</v>
      </c>
      <c r="D20" s="1">
        <v>18</v>
      </c>
      <c r="E20" s="1">
        <f>_xlfn.NORM.DIST(D20, C23, C24, FALSE)</f>
        <v>7.1224312215280444E-2</v>
      </c>
      <c r="F20" s="18">
        <f t="shared" si="0"/>
        <v>20.341388888888886</v>
      </c>
      <c r="G20" s="5">
        <f t="shared" si="1"/>
        <v>10.526816005520846</v>
      </c>
      <c r="H20" s="19" t="s">
        <v>77</v>
      </c>
    </row>
    <row r="21" spans="1:8" x14ac:dyDescent="0.25">
      <c r="A21" s="1" t="s">
        <v>38</v>
      </c>
      <c r="B21" s="1" t="s">
        <v>39</v>
      </c>
      <c r="C21" s="16">
        <v>0.75665509259259256</v>
      </c>
      <c r="D21" s="1">
        <v>19</v>
      </c>
      <c r="E21" s="1">
        <f>_xlfn.NORM.DIST(D21, C23, C24, FALSE)</f>
        <v>9.3759100775129084E-2</v>
      </c>
      <c r="F21" s="18">
        <f t="shared" si="0"/>
        <v>18.159722222222221</v>
      </c>
      <c r="G21" s="5">
        <f t="shared" si="1"/>
        <v>9.548656614986756</v>
      </c>
      <c r="H21" s="19" t="s">
        <v>78</v>
      </c>
    </row>
    <row r="22" spans="1:8" x14ac:dyDescent="0.25">
      <c r="A22" s="1"/>
      <c r="B22" s="1"/>
      <c r="C22" s="1"/>
      <c r="D22" s="1">
        <v>20</v>
      </c>
      <c r="E22" s="1">
        <f>_xlfn.NORM.DIST(D22, C23, C24, FALSE)</f>
        <v>0.11222613768124692</v>
      </c>
      <c r="F22" s="1"/>
      <c r="G22" s="21"/>
      <c r="H22" s="1"/>
    </row>
    <row r="23" spans="1:8" x14ac:dyDescent="0.25">
      <c r="A23" s="1"/>
      <c r="B23" s="12" t="s">
        <v>40</v>
      </c>
      <c r="C23" s="10">
        <f>AVERAGE(F2:F21)</f>
        <v>21.390361111111112</v>
      </c>
      <c r="D23" s="1">
        <v>21</v>
      </c>
      <c r="E23" s="1">
        <f>_xlfn.NORM.DIST(D23, C23, C24, FALSE)</f>
        <v>0.12214340252238683</v>
      </c>
      <c r="F23" s="1"/>
      <c r="G23" s="7">
        <f>AVERAGE(G2:G21)</f>
        <v>10.764973261382725</v>
      </c>
      <c r="H23" s="1"/>
    </row>
    <row r="24" spans="1:8" x14ac:dyDescent="0.25">
      <c r="A24" s="1"/>
      <c r="B24" s="13" t="s">
        <v>41</v>
      </c>
      <c r="C24" s="11">
        <f>_xlfn.STDEV.P(F2:F21)</f>
        <v>3.2425973124978826</v>
      </c>
      <c r="D24" s="1">
        <v>22</v>
      </c>
      <c r="E24" s="1">
        <f>_xlfn.NORM.DIST(D24, C23, C24, FALSE)</f>
        <v>0.1208763743376253</v>
      </c>
      <c r="F24" s="1"/>
      <c r="G24" s="1"/>
      <c r="H24" s="1"/>
    </row>
    <row r="25" spans="1:8" x14ac:dyDescent="0.25">
      <c r="A25" s="1"/>
      <c r="B25" s="1"/>
      <c r="C25" s="1"/>
      <c r="D25" s="1">
        <v>23</v>
      </c>
      <c r="E25" s="1">
        <f>_xlfn.NORM.DIST(D25, C23, C24, FALSE)</f>
        <v>0.10876977995447078</v>
      </c>
      <c r="F25" s="1"/>
      <c r="G25" s="1"/>
      <c r="H25" s="1"/>
    </row>
    <row r="26" spans="1:8" x14ac:dyDescent="0.25">
      <c r="A26" s="1"/>
      <c r="B26" s="1"/>
      <c r="C26" s="1"/>
      <c r="D26" s="1">
        <v>24</v>
      </c>
      <c r="E26" s="1">
        <f>_xlfn.NORM.DIST(D26, C23, C24, FALSE)</f>
        <v>8.8996000304417122E-2</v>
      </c>
      <c r="F26" s="1"/>
      <c r="G26" s="1"/>
      <c r="H26" s="1"/>
    </row>
    <row r="27" spans="1:8" x14ac:dyDescent="0.25">
      <c r="A27" s="1"/>
      <c r="B27" s="1"/>
      <c r="C27" s="1"/>
      <c r="D27" s="1">
        <v>25</v>
      </c>
      <c r="E27" s="1">
        <f>_xlfn.NORM.DIST(D27, C23, C24, FALSE)</f>
        <v>6.621069424473329E-2</v>
      </c>
      <c r="F27" s="1"/>
      <c r="G27" s="1"/>
      <c r="H27" s="1"/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8"/>
      <c r="B29" s="8"/>
      <c r="C29" s="8"/>
      <c r="D29" s="8"/>
      <c r="E29" s="8"/>
      <c r="F29" s="8"/>
      <c r="G29" s="8"/>
      <c r="H29" s="8"/>
    </row>
    <row r="30" spans="1:8" x14ac:dyDescent="0.25">
      <c r="A30" s="8"/>
      <c r="B30" s="8"/>
      <c r="C30" s="8"/>
      <c r="D30" s="8"/>
      <c r="E30" s="8"/>
      <c r="F30" s="8"/>
      <c r="G30" s="8"/>
      <c r="H30" s="8"/>
    </row>
    <row r="33" spans="5:5" x14ac:dyDescent="0.25">
      <c r="E33" s="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Terrazas Lobato</dc:creator>
  <cp:lastModifiedBy>SERGIO TERRAZAS LOBATO</cp:lastModifiedBy>
  <dcterms:created xsi:type="dcterms:W3CDTF">2015-06-05T18:19:34Z</dcterms:created>
  <dcterms:modified xsi:type="dcterms:W3CDTF">2026-04-15T13:56:44Z</dcterms:modified>
</cp:coreProperties>
</file>
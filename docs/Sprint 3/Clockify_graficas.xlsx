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ergi\Desktop\ISPP-G8\ISPP-G8\docs\Sprint 3\"/>
    </mc:Choice>
  </mc:AlternateContent>
  <xr:revisionPtr revIDLastSave="0" documentId="13_ncr:1_{5D189101-A603-4175-9A1B-46B66C8A1C98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" i="1" l="1"/>
  <c r="C23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  <c r="C24" i="1" s="1"/>
  <c r="E27" i="1" l="1"/>
  <c r="E26" i="1"/>
  <c r="E3" i="1"/>
  <c r="E8" i="1"/>
  <c r="E12" i="1"/>
  <c r="E16" i="1"/>
  <c r="E20" i="1"/>
  <c r="E24" i="1"/>
  <c r="E5" i="1"/>
  <c r="E9" i="1"/>
  <c r="E13" i="1"/>
  <c r="E17" i="1"/>
  <c r="E21" i="1"/>
  <c r="E25" i="1"/>
  <c r="E2" i="1"/>
  <c r="E6" i="1"/>
  <c r="E10" i="1"/>
  <c r="E14" i="1"/>
  <c r="E18" i="1"/>
  <c r="E22" i="1"/>
  <c r="E4" i="1"/>
  <c r="E7" i="1"/>
  <c r="E11" i="1"/>
  <c r="E15" i="1"/>
  <c r="E19" i="1"/>
  <c r="E23" i="1"/>
</calcChain>
</file>

<file path=xl/sharedStrings.xml><?xml version="1.0" encoding="utf-8"?>
<sst xmlns="http://schemas.openxmlformats.org/spreadsheetml/2006/main" count="85" uniqueCount="82">
  <si>
    <t>Nombre</t>
  </si>
  <si>
    <t>Apellidos</t>
  </si>
  <si>
    <t>Horas Clockify</t>
  </si>
  <si>
    <t>Santia</t>
  </si>
  <si>
    <t>Bregu</t>
  </si>
  <si>
    <t>Pablo</t>
  </si>
  <si>
    <t>Arrabal Hermoso</t>
  </si>
  <si>
    <t>Manuel</t>
  </si>
  <si>
    <t>Zoilo Buzon Muñoz</t>
  </si>
  <si>
    <t>Chica Lopez</t>
  </si>
  <si>
    <t>Celia del Pilar</t>
  </si>
  <si>
    <t>Dorantes Ruiz</t>
  </si>
  <si>
    <t>Santiago</t>
  </si>
  <si>
    <t>Fernandez Roman</t>
  </si>
  <si>
    <t>Raquel</t>
  </si>
  <si>
    <t xml:space="preserve"> García Hortal</t>
  </si>
  <si>
    <t>Oscar</t>
  </si>
  <si>
    <t xml:space="preserve"> Gomez Gonzalez</t>
  </si>
  <si>
    <t xml:space="preserve"> Manuel</t>
  </si>
  <si>
    <t xml:space="preserve"> Lavado Corredera</t>
  </si>
  <si>
    <t>Guillermo</t>
  </si>
  <si>
    <t>Linares Borrego</t>
  </si>
  <si>
    <t xml:space="preserve"> Ana</t>
  </si>
  <si>
    <t>Martin Carrillo</t>
  </si>
  <si>
    <t xml:space="preserve"> Miguel</t>
  </si>
  <si>
    <t>Arturo Mir Ceballos</t>
  </si>
  <si>
    <t xml:space="preserve"> Roberto</t>
  </si>
  <si>
    <t>Muñoz Perez</t>
  </si>
  <si>
    <t xml:space="preserve"> Orta Perez</t>
  </si>
  <si>
    <t xml:space="preserve"> Javier</t>
  </si>
  <si>
    <t xml:space="preserve"> Pallarés González</t>
  </si>
  <si>
    <t xml:space="preserve"> Dario</t>
  </si>
  <si>
    <t xml:space="preserve"> Rodriguez Sastre</t>
  </si>
  <si>
    <t>Jose Maria</t>
  </si>
  <si>
    <t>Silva Guzman</t>
  </si>
  <si>
    <t>Sergio</t>
  </si>
  <si>
    <t xml:space="preserve"> Terrazas Lobato</t>
  </si>
  <si>
    <t>Zafra Ruiz</t>
  </si>
  <si>
    <t>Jose</t>
  </si>
  <si>
    <t>Egido Carnereo</t>
  </si>
  <si>
    <t>Media:</t>
  </si>
  <si>
    <t>Desviación Estándar:</t>
  </si>
  <si>
    <t>Horas de Dedicación</t>
  </si>
  <si>
    <t>Densidad de Probabilidad</t>
  </si>
  <si>
    <t>Métrica</t>
  </si>
  <si>
    <t>Valor</t>
  </si>
  <si>
    <t>Estado</t>
  </si>
  <si>
    <t>Observación</t>
  </si>
  <si>
    <t>Media Semanal</t>
  </si>
  <si>
    <t>9.3h</t>
  </si>
  <si>
    <t>🟡</t>
  </si>
  <si>
    <t>Muy cerca del objetivo de 10h.</t>
  </si>
  <si>
    <t>Desviación ($\sigma$)</t>
  </si>
  <si>
    <t>5.8h</t>
  </si>
  <si>
    <t>⚪</t>
  </si>
  <si>
    <t>Alta dispersión por tareas críticas de larga duración.</t>
  </si>
  <si>
    <t>Cumplimiento</t>
  </si>
  <si>
    <t>🟢</t>
  </si>
  <si>
    <t>Disciplina total en el uso de Clockify.</t>
  </si>
  <si>
    <t>Notas total #S3 (metricas + clocki)</t>
  </si>
  <si>
    <t>Horas clocki decimal</t>
  </si>
  <si>
    <t>Iniciales</t>
  </si>
  <si>
    <t>SB</t>
  </si>
  <si>
    <t>PAH</t>
  </si>
  <si>
    <t>MZBM</t>
  </si>
  <si>
    <t>MCL</t>
  </si>
  <si>
    <t>SFR</t>
  </si>
  <si>
    <t>RGH</t>
  </si>
  <si>
    <t>OGG</t>
  </si>
  <si>
    <t>MLC</t>
  </si>
  <si>
    <t>GLB</t>
  </si>
  <si>
    <t>AMC</t>
  </si>
  <si>
    <t>RMP</t>
  </si>
  <si>
    <t>MOP</t>
  </si>
  <si>
    <t>JPG</t>
  </si>
  <si>
    <t>DRS</t>
  </si>
  <si>
    <t>STL</t>
  </si>
  <si>
    <t>DZR</t>
  </si>
  <si>
    <t>JEC</t>
  </si>
  <si>
    <t>CPDR</t>
  </si>
  <si>
    <t>MAMC</t>
  </si>
  <si>
    <t>JMSG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</si>
</sst>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7"/>
      <name val="Calibri"/>
      <family val="2"/>
      <scheme val="minor"/>
    </font>
    <font>
      <sz val="10"/>
      <color theme="1"/>
      <name val="Arial"/>
      <family val="2"/>
    </font>
    <font>
      <sz val="11"/>
      <color theme="1" tint="0.499984740745262"/>
      <name val="Calibri"/>
      <family val="2"/>
      <scheme val="minor"/>
    </font>
    <font>
      <sz val="9"/>
      <color theme="1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2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4" fillId="0" borderId="1" xfId="1" applyNumberFormat="1" applyFont="1" applyBorder="1" applyAlignment="1">
      <alignment horizontal="center" vertical="center" wrapText="1"/>
    </xf>
    <xf numFmtId="0" fontId="0" fillId="0" borderId="2" xfId="0" applyBorder="1"/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" fontId="0" fillId="2" borderId="4" xfId="0" applyNumberFormat="1" applyFill="1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6" fontId="7" fillId="0" borderId="1" xfId="0" applyNumberFormat="1" applyFont="1" applyBorder="1" applyAlignment="1">
      <alignment horizontal="center" vertical="center"/>
    </xf>
    <xf numFmtId="21" fontId="4" fillId="0" borderId="1" xfId="0" applyNumberFormat="1" applyFont="1" applyBorder="1" applyAlignment="1">
      <alignment horizontal="center" vertical="center"/>
    </xf>
    <xf numFmtId="46" fontId="4" fillId="0" borderId="1" xfId="0" applyNumberFormat="1" applyFon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5" borderId="0" xfId="0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Distribución del Esfuerzo Sprint 3 (Clockify)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Hoja1!$D$2:$D$27</c:f>
              <c:numCache>
                <c:formatCode>General</c:formatCode>
                <c:ptCount val="2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</c:numCache>
            </c:numRef>
          </c:xVal>
          <c:yVal>
            <c:numRef>
              <c:f>Hoja1!$E$2:$E$27</c:f>
              <c:numCache>
                <c:formatCode>General</c:formatCode>
                <c:ptCount val="26"/>
                <c:pt idx="0">
                  <c:v>4.3713038460770458E-11</c:v>
                </c:pt>
                <c:pt idx="1">
                  <c:v>5.7559883120714852E-53</c:v>
                </c:pt>
                <c:pt idx="2">
                  <c:v>2.1136926964831163E-9</c:v>
                </c:pt>
                <c:pt idx="3">
                  <c:v>1.2743842444124381E-8</c:v>
                </c:pt>
                <c:pt idx="4">
                  <c:v>6.986414591047768E-8</c:v>
                </c:pt>
                <c:pt idx="5">
                  <c:v>3.4826010669490693E-7</c:v>
                </c:pt>
                <c:pt idx="6">
                  <c:v>1.578514287755503E-6</c:v>
                </c:pt>
                <c:pt idx="7">
                  <c:v>6.505620412120747E-6</c:v>
                </c:pt>
                <c:pt idx="8">
                  <c:v>2.4379474261639829E-5</c:v>
                </c:pt>
                <c:pt idx="9">
                  <c:v>8.3072133835089082E-5</c:v>
                </c:pt>
                <c:pt idx="10">
                  <c:v>2.5738415663641644E-4</c:v>
                </c:pt>
                <c:pt idx="11">
                  <c:v>7.2510962227717211E-4</c:v>
                </c:pt>
                <c:pt idx="12">
                  <c:v>1.857466287800437E-3</c:v>
                </c:pt>
                <c:pt idx="13">
                  <c:v>4.3264692974432006E-3</c:v>
                </c:pt>
                <c:pt idx="14">
                  <c:v>9.1630852244853431E-3</c:v>
                </c:pt>
                <c:pt idx="15">
                  <c:v>1.7645957933964701E-2</c:v>
                </c:pt>
                <c:pt idx="16">
                  <c:v>3.089898170251024E-2</c:v>
                </c:pt>
                <c:pt idx="17">
                  <c:v>4.919698732485428E-2</c:v>
                </c:pt>
                <c:pt idx="18">
                  <c:v>7.1224312215280444E-2</c:v>
                </c:pt>
                <c:pt idx="19">
                  <c:v>9.3759100775129084E-2</c:v>
                </c:pt>
                <c:pt idx="20">
                  <c:v>0.11222613768124692</c:v>
                </c:pt>
                <c:pt idx="21">
                  <c:v>0.12214340252238683</c:v>
                </c:pt>
                <c:pt idx="22">
                  <c:v>0.1208763743376253</c:v>
                </c:pt>
                <c:pt idx="23">
                  <c:v>0.10876977995447078</c:v>
                </c:pt>
                <c:pt idx="24">
                  <c:v>8.8996000304417122E-2</c:v>
                </c:pt>
                <c:pt idx="25">
                  <c:v>6.621069424473329E-2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E7-4C24-9B31-2AB618587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4329568"/>
        <c:axId val="1404319488"/>
      </c:scatterChart>
      <c:valAx>
        <c:axId val="1404329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Horas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4319488"/>
        <c:crosses val="autoZero"/>
        <c:crossBetween val="midCat"/>
      </c:valAx>
      <c:valAx>
        <c:axId val="1404319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000" b="0" i="0" u="none" strike="noStrike" baseline="0"/>
                  <a:t>Densidad de Probabilidad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4329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Matriz de Productividad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Hoja1!$G$1</c:f>
              <c:strCache>
                <c:ptCount val="1"/>
                <c:pt idx="0">
                  <c:v>Notas total #S3 (metricas + clocki)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506A3727-96AC-4F2E-AFED-E8B47A71F3EB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F54-4DB1-A969-2A7B67D1B02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1CD6B5F-0740-4E0F-B21F-4C825D2EFDB2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F54-4DB1-A969-2A7B67D1B02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83C7A8C-3CFD-461F-A8D4-B6B0E427EDB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F54-4DB1-A969-2A7B67D1B02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18F5EBA-BDC9-4646-A691-51D658C63128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F54-4DB1-A969-2A7B67D1B02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80532D2-3FEA-4692-8550-E6E5507D4014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F54-4DB1-A969-2A7B67D1B02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3546F22-D321-4FC2-BEAC-C19509E56FBF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F54-4DB1-A969-2A7B67D1B02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642BA05-E504-4B07-BA6A-0CBEA16C771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F54-4DB1-A969-2A7B67D1B02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4C11AAA-1EB1-4C59-9876-7E611FA132C9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F54-4DB1-A969-2A7B67D1B02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6BD1BF7-9A10-46B9-A5D3-39D9CB66E99E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F54-4DB1-A969-2A7B67D1B02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B147AE1-7254-40EC-B403-953EBE58FEDC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7F54-4DB1-A969-2A7B67D1B0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3E364C1-0ED8-41B5-87C1-3E06732C275E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F54-4DB1-A969-2A7B67D1B02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D444663-4359-4574-94AA-6C3B35944B1D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7F54-4DB1-A969-2A7B67D1B02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D4411F0-DAB5-43B2-89A3-1C961FF1C7CC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F54-4DB1-A969-2A7B67D1B02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BA10F1AA-CB75-4620-A7C5-BD82C73D39E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7F54-4DB1-A969-2A7B67D1B02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FD7C593-C081-4763-88BC-E13C90540B96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F54-4DB1-A969-2A7B67D1B02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74DD6C2-3902-4CF9-9313-ACEA55C64D0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7F54-4DB1-A969-2A7B67D1B02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DACAE10-24B8-4BDE-A5BE-617E36C90794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F54-4DB1-A969-2A7B67D1B02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934238D-E8B2-4F2E-938B-8262A0717555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7F54-4DB1-A969-2A7B67D1B02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3A756AE9-5035-46AC-B739-389902BB230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F54-4DB1-A969-2A7B67D1B02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8BDECDE5-3D87-4599-ABFF-4EDB38ABAA69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7F54-4DB1-A969-2A7B67D1B0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Hoja1!$F$2:$F$21</c:f>
              <c:numCache>
                <c:formatCode>0.00</c:formatCode>
                <c:ptCount val="20"/>
                <c:pt idx="0">
                  <c:v>31.709166666666665</c:v>
                </c:pt>
                <c:pt idx="1">
                  <c:v>21.015833333333333</c:v>
                </c:pt>
                <c:pt idx="2">
                  <c:v>25.759999999999998</c:v>
                </c:pt>
                <c:pt idx="3">
                  <c:v>19.058055555555555</c:v>
                </c:pt>
                <c:pt idx="4">
                  <c:v>22.0075</c:v>
                </c:pt>
                <c:pt idx="5">
                  <c:v>22.086944444444445</c:v>
                </c:pt>
                <c:pt idx="6">
                  <c:v>23.35</c:v>
                </c:pt>
                <c:pt idx="7">
                  <c:v>18.352777777777778</c:v>
                </c:pt>
                <c:pt idx="8">
                  <c:v>19.583333333333332</c:v>
                </c:pt>
                <c:pt idx="9">
                  <c:v>20.035555555555554</c:v>
                </c:pt>
                <c:pt idx="10">
                  <c:v>18.179722222222221</c:v>
                </c:pt>
                <c:pt idx="11">
                  <c:v>21</c:v>
                </c:pt>
                <c:pt idx="12">
                  <c:v>22.527777777777779</c:v>
                </c:pt>
                <c:pt idx="13">
                  <c:v>25.110277777777782</c:v>
                </c:pt>
                <c:pt idx="14">
                  <c:v>17.981666666666666</c:v>
                </c:pt>
                <c:pt idx="15">
                  <c:v>19.41138888888889</c:v>
                </c:pt>
                <c:pt idx="16">
                  <c:v>22.969444444444445</c:v>
                </c:pt>
                <c:pt idx="17">
                  <c:v>19.166666666666668</c:v>
                </c:pt>
                <c:pt idx="18">
                  <c:v>20.341388888888886</c:v>
                </c:pt>
                <c:pt idx="19">
                  <c:v>18.159722222222221</c:v>
                </c:pt>
              </c:numCache>
            </c:numRef>
          </c:xVal>
          <c:yVal>
            <c:numRef>
              <c:f>Hoja1!$G$2:$G$21</c:f>
              <c:numCache>
                <c:formatCode>0.00</c:formatCode>
                <c:ptCount val="20"/>
                <c:pt idx="0">
                  <c:v>15.854583333551897</c:v>
                </c:pt>
                <c:pt idx="1">
                  <c:v>10.507916666666667</c:v>
                </c:pt>
                <c:pt idx="2">
                  <c:v>12.880000010568462</c:v>
                </c:pt>
                <c:pt idx="3">
                  <c:v>9.5290278414969904</c:v>
                </c:pt>
                <c:pt idx="4">
                  <c:v>11.003750349320729</c:v>
                </c:pt>
                <c:pt idx="5">
                  <c:v>11.043473963522755</c:v>
                </c:pt>
                <c:pt idx="6">
                  <c:v>11.67500789257144</c:v>
                </c:pt>
                <c:pt idx="7">
                  <c:v>9.1764214169909497</c:v>
                </c:pt>
                <c:pt idx="8">
                  <c:v>9.791788564037974</c:v>
                </c:pt>
                <c:pt idx="9">
                  <c:v>10.018193138446952</c:v>
                </c:pt>
                <c:pt idx="10">
                  <c:v>9.0911480318942921</c:v>
                </c:pt>
                <c:pt idx="11">
                  <c:v>10.503625548111385</c:v>
                </c:pt>
                <c:pt idx="12">
                  <c:v>11.273176220327892</c:v>
                </c:pt>
                <c:pt idx="13">
                  <c:v>12.576771235376107</c:v>
                </c:pt>
                <c:pt idx="14">
                  <c:v>9.0366487594557601</c:v>
                </c:pt>
                <c:pt idx="15">
                  <c:v>9.793924234114268</c:v>
                </c:pt>
                <c:pt idx="16">
                  <c:v>11.639217130734774</c:v>
                </c:pt>
                <c:pt idx="17">
                  <c:v>9.8293182699576054</c:v>
                </c:pt>
                <c:pt idx="18">
                  <c:v>10.526816005520846</c:v>
                </c:pt>
                <c:pt idx="19">
                  <c:v>9.548656614986756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Hoja1!$H$2:$H$21</c15:f>
                <c15:dlblRangeCache>
                  <c:ptCount val="20"/>
                  <c:pt idx="0">
                    <c:v>SB</c:v>
                  </c:pt>
                  <c:pt idx="1">
                    <c:v>PAH</c:v>
                  </c:pt>
                  <c:pt idx="2">
                    <c:v>MZBM</c:v>
                  </c:pt>
                  <c:pt idx="3">
                    <c:v>MCL</c:v>
                  </c:pt>
                  <c:pt idx="4">
                    <c:v>CPDR</c:v>
                  </c:pt>
                  <c:pt idx="5">
                    <c:v>SFR</c:v>
                  </c:pt>
                  <c:pt idx="6">
                    <c:v>RGH</c:v>
                  </c:pt>
                  <c:pt idx="7">
                    <c:v>OGG</c:v>
                  </c:pt>
                  <c:pt idx="8">
                    <c:v>MLC</c:v>
                  </c:pt>
                  <c:pt idx="9">
                    <c:v>GLB</c:v>
                  </c:pt>
                  <c:pt idx="10">
                    <c:v>AMC</c:v>
                  </c:pt>
                  <c:pt idx="11">
                    <c:v>MAMC</c:v>
                  </c:pt>
                  <c:pt idx="12">
                    <c:v>RMP</c:v>
                  </c:pt>
                  <c:pt idx="13">
                    <c:v>MOP</c:v>
                  </c:pt>
                  <c:pt idx="14">
                    <c:v>JPG</c:v>
                  </c:pt>
                  <c:pt idx="15">
                    <c:v>DRS</c:v>
                  </c:pt>
                  <c:pt idx="16">
                    <c:v>JMSG</c:v>
                  </c:pt>
                  <c:pt idx="17">
                    <c:v>STL</c:v>
                  </c:pt>
                  <c:pt idx="18">
                    <c:v>DZR</c:v>
                  </c:pt>
                  <c:pt idx="19">
                    <c:v>JEC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7F54-4DB1-A969-2A7B67D1B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4352608"/>
        <c:axId val="1404363648"/>
      </c:scatterChart>
      <c:valAx>
        <c:axId val="1404352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Dedicación (Horas Clockify).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4363648"/>
        <c:crossesAt val="8"/>
        <c:crossBetween val="midCat"/>
      </c:valAx>
      <c:valAx>
        <c:axId val="140436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000" b="0" i="0" u="none" strike="noStrike" baseline="0"/>
                  <a:t>Índice de Desempeño.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4352608"/>
        <c:crossesAt val="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598714</xdr:colOff>
      <xdr:row>29</xdr:row>
      <xdr:rowOff>81643</xdr:rowOff>
    </xdr:from>
    <xdr:to>
      <xdr:col>17</xdr:col>
      <xdr:colOff>391886</xdr:colOff>
      <xdr:row>35</xdr:row>
      <xdr:rowOff>48986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CFC25280-6026-CC8F-42C8-665B2874A59B}"/>
            </a:ext>
          </a:extLst>
        </xdr:cNvPr>
        <xdr:cNvSpPr/>
      </xdr:nvSpPr>
      <xdr:spPr>
        <a:xfrm>
          <a:off x="12834257" y="5720443"/>
          <a:ext cx="3450772" cy="111034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1">
              <a:shade val="15000"/>
              <a:alpha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11</xdr:col>
      <xdr:colOff>604157</xdr:colOff>
      <xdr:row>22</xdr:row>
      <xdr:rowOff>21771</xdr:rowOff>
    </xdr:from>
    <xdr:to>
      <xdr:col>17</xdr:col>
      <xdr:colOff>391886</xdr:colOff>
      <xdr:row>29</xdr:row>
      <xdr:rowOff>70757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FC3C177-B186-91EB-CEF1-2DAD872551E2}"/>
            </a:ext>
          </a:extLst>
        </xdr:cNvPr>
        <xdr:cNvSpPr/>
      </xdr:nvSpPr>
      <xdr:spPr>
        <a:xfrm>
          <a:off x="12839700" y="4327071"/>
          <a:ext cx="3445329" cy="1382486"/>
        </a:xfrm>
        <a:prstGeom prst="rect">
          <a:avLst/>
        </a:prstGeom>
        <a:solidFill>
          <a:schemeClr val="accent6"/>
        </a:solidFill>
        <a:ln>
          <a:solidFill>
            <a:schemeClr val="accent1">
              <a:shade val="15000"/>
              <a:alpha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440871</xdr:colOff>
      <xdr:row>22</xdr:row>
      <xdr:rowOff>21771</xdr:rowOff>
    </xdr:from>
    <xdr:to>
      <xdr:col>11</xdr:col>
      <xdr:colOff>598714</xdr:colOff>
      <xdr:row>29</xdr:row>
      <xdr:rowOff>76200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C37F0B11-0B5A-228C-7EA1-186F0D79EE37}"/>
            </a:ext>
          </a:extLst>
        </xdr:cNvPr>
        <xdr:cNvSpPr/>
      </xdr:nvSpPr>
      <xdr:spPr>
        <a:xfrm>
          <a:off x="11457214" y="4327071"/>
          <a:ext cx="1377043" cy="1387929"/>
        </a:xfrm>
        <a:prstGeom prst="rect">
          <a:avLst/>
        </a:prstGeom>
        <a:solidFill>
          <a:schemeClr val="accent4"/>
        </a:solidFill>
        <a:ln>
          <a:solidFill>
            <a:schemeClr val="accent1">
              <a:shade val="15000"/>
              <a:alpha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440871</xdr:colOff>
      <xdr:row>29</xdr:row>
      <xdr:rowOff>76200</xdr:rowOff>
    </xdr:from>
    <xdr:to>
      <xdr:col>11</xdr:col>
      <xdr:colOff>593271</xdr:colOff>
      <xdr:row>35</xdr:row>
      <xdr:rowOff>48986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8998A3B-DD07-F266-3F55-C55C93280DB0}"/>
            </a:ext>
          </a:extLst>
        </xdr:cNvPr>
        <xdr:cNvSpPr/>
      </xdr:nvSpPr>
      <xdr:spPr>
        <a:xfrm>
          <a:off x="11457214" y="5715000"/>
          <a:ext cx="1371600" cy="1115786"/>
        </a:xfrm>
        <a:prstGeom prst="rect">
          <a:avLst/>
        </a:prstGeom>
        <a:solidFill>
          <a:srgbClr val="FF0000">
            <a:alpha val="90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9525</xdr:colOff>
      <xdr:row>1</xdr:row>
      <xdr:rowOff>4762</xdr:rowOff>
    </xdr:from>
    <xdr:to>
      <xdr:col>16</xdr:col>
      <xdr:colOff>314325</xdr:colOff>
      <xdr:row>15</xdr:row>
      <xdr:rowOff>80962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472396-EC24-E6A3-DE42-97BE00A6A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101046</xdr:colOff>
      <xdr:row>19</xdr:row>
      <xdr:rowOff>124446</xdr:rowOff>
    </xdr:from>
    <xdr:to>
      <xdr:col>17</xdr:col>
      <xdr:colOff>668405</xdr:colOff>
      <xdr:row>37</xdr:row>
      <xdr:rowOff>5384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0FA2F2-0D88-CD60-8FFE-7F57D2FB2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0"/>
  <sheetViews>
    <sheetView tabSelected="1" topLeftCell="F8" zoomScaleNormal="100" workbookViewId="0">
      <selection activeCell="U21" sqref="U21"/>
    </sheetView>
  </sheetViews>
  <sheetFormatPr baseColWidth="10" defaultColWidth="9.140625" defaultRowHeight="15" x14ac:dyDescent="0.25"/>
  <cols>
    <col min="1" max="1" width="16.28515625" customWidth="1"/>
    <col min="2" max="2" width="24.42578125" customWidth="1"/>
    <col min="3" max="3" width="23" customWidth="1"/>
    <col min="4" max="4" width="18.7109375" customWidth="1"/>
    <col min="5" max="5" width="24.7109375" customWidth="1"/>
    <col min="6" max="6" width="19.42578125" customWidth="1"/>
    <col min="7" max="7" width="17.140625" customWidth="1"/>
    <col min="8" max="8" width="12.28515625" customWidth="1"/>
    <col min="9" max="10" width="9.140625" customWidth="1"/>
    <col min="12" max="12" width="9.140625" customWidth="1"/>
    <col min="18" max="18" width="21" customWidth="1"/>
    <col min="19" max="19" width="10.85546875" customWidth="1"/>
    <col min="21" max="21" width="48.5703125" customWidth="1"/>
  </cols>
  <sheetData>
    <row r="1" spans="1:21" ht="24" x14ac:dyDescent="0.25">
      <c r="A1" s="14" t="s">
        <v>0</v>
      </c>
      <c r="B1" s="14" t="s">
        <v>1</v>
      </c>
      <c r="C1" s="14" t="s">
        <v>2</v>
      </c>
      <c r="D1" s="14" t="s">
        <v>42</v>
      </c>
      <c r="E1" s="14" t="s">
        <v>43</v>
      </c>
      <c r="F1" s="14" t="s">
        <v>60</v>
      </c>
      <c r="G1" s="20" t="s">
        <v>59</v>
      </c>
      <c r="H1" s="14" t="s">
        <v>61</v>
      </c>
    </row>
    <row r="2" spans="1:21" x14ac:dyDescent="0.25">
      <c r="A2" s="1" t="s">
        <v>3</v>
      </c>
      <c r="B2" s="1" t="s">
        <v>4</v>
      </c>
      <c r="C2" s="15">
        <v>1.3212152777777777</v>
      </c>
      <c r="D2" s="1">
        <v>0</v>
      </c>
      <c r="E2" s="1">
        <f>_xlfn.NORM.DIST(D2, C23, C24, FALSE)</f>
        <v>4.3713038460770458E-11</v>
      </c>
      <c r="F2" s="18">
        <f>C2*24</f>
        <v>31.709166666666665</v>
      </c>
      <c r="G2" s="5">
        <f>((E2*10)+F2)/2</f>
        <v>15.854583333551897</v>
      </c>
      <c r="H2" s="19" t="s">
        <v>62</v>
      </c>
    </row>
    <row r="3" spans="1:21" x14ac:dyDescent="0.25">
      <c r="A3" s="1" t="s">
        <v>5</v>
      </c>
      <c r="B3" s="1" t="s">
        <v>6</v>
      </c>
      <c r="C3" s="16">
        <v>0.87565972222222221</v>
      </c>
      <c r="D3" s="1">
        <v>1</v>
      </c>
      <c r="E3" s="1">
        <f>_xlfn.NORM.DIST(D3, C23, C2, FALSE)</f>
        <v>5.7559883120714852E-53</v>
      </c>
      <c r="F3" s="18">
        <f t="shared" ref="F3:F21" si="0">C3*24</f>
        <v>21.015833333333333</v>
      </c>
      <c r="G3" s="5">
        <f t="shared" ref="G3:G21" si="1">((E3*10)+F3)/2</f>
        <v>10.507916666666667</v>
      </c>
      <c r="H3" s="19" t="s">
        <v>63</v>
      </c>
    </row>
    <row r="4" spans="1:21" x14ac:dyDescent="0.25">
      <c r="A4" s="1" t="s">
        <v>7</v>
      </c>
      <c r="B4" s="1" t="s">
        <v>8</v>
      </c>
      <c r="C4" s="17">
        <v>1.0733333333333333</v>
      </c>
      <c r="D4" s="1">
        <v>2</v>
      </c>
      <c r="E4" s="1">
        <f>_xlfn.NORM.DIST(D4, C23, C24, FALSE)</f>
        <v>2.1136926964831163E-9</v>
      </c>
      <c r="F4" s="18">
        <f t="shared" si="0"/>
        <v>25.759999999999998</v>
      </c>
      <c r="G4" s="5">
        <f t="shared" si="1"/>
        <v>12.880000010568462</v>
      </c>
      <c r="H4" s="19" t="s">
        <v>64</v>
      </c>
    </row>
    <row r="5" spans="1:21" x14ac:dyDescent="0.25">
      <c r="A5" s="1" t="s">
        <v>7</v>
      </c>
      <c r="B5" s="1" t="s">
        <v>9</v>
      </c>
      <c r="C5" s="16">
        <v>0.79408564814814819</v>
      </c>
      <c r="D5" s="1">
        <v>3</v>
      </c>
      <c r="E5" s="1">
        <f>_xlfn.NORM.DIST(D5, C23, C24, FALSE)</f>
        <v>1.2743842444124381E-8</v>
      </c>
      <c r="F5" s="18">
        <f t="shared" si="0"/>
        <v>19.058055555555555</v>
      </c>
      <c r="G5" s="5">
        <f t="shared" si="1"/>
        <v>9.5290278414969904</v>
      </c>
      <c r="H5" s="19" t="s">
        <v>65</v>
      </c>
    </row>
    <row r="6" spans="1:21" x14ac:dyDescent="0.25">
      <c r="A6" s="1" t="s">
        <v>10</v>
      </c>
      <c r="B6" s="1" t="s">
        <v>11</v>
      </c>
      <c r="C6" s="16">
        <v>0.91697916666666668</v>
      </c>
      <c r="D6" s="1">
        <v>4</v>
      </c>
      <c r="E6" s="1">
        <f>_xlfn.NORM.DIST(D6, C23, C24, FALSE)</f>
        <v>6.986414591047768E-8</v>
      </c>
      <c r="F6" s="18">
        <f t="shared" si="0"/>
        <v>22.0075</v>
      </c>
      <c r="G6" s="5">
        <f t="shared" si="1"/>
        <v>11.003750349320729</v>
      </c>
      <c r="H6" s="19" t="s">
        <v>79</v>
      </c>
    </row>
    <row r="7" spans="1:21" x14ac:dyDescent="0.25">
      <c r="A7" s="1" t="s">
        <v>12</v>
      </c>
      <c r="B7" s="1" t="s">
        <v>13</v>
      </c>
      <c r="C7" s="16">
        <v>0.9202893518518519</v>
      </c>
      <c r="D7" s="1">
        <v>5</v>
      </c>
      <c r="E7" s="1">
        <f>_xlfn.NORM.DIST(D7, C23, C24, FALSE)</f>
        <v>3.4826010669490693E-7</v>
      </c>
      <c r="F7" s="18">
        <f t="shared" si="0"/>
        <v>22.086944444444445</v>
      </c>
      <c r="G7" s="5">
        <f t="shared" si="1"/>
        <v>11.043473963522755</v>
      </c>
      <c r="H7" s="19" t="s">
        <v>66</v>
      </c>
    </row>
    <row r="8" spans="1:21" x14ac:dyDescent="0.25">
      <c r="A8" s="1" t="s">
        <v>14</v>
      </c>
      <c r="B8" s="1" t="s">
        <v>15</v>
      </c>
      <c r="C8" s="16">
        <v>0.97291666666666665</v>
      </c>
      <c r="D8" s="1">
        <v>6</v>
      </c>
      <c r="E8" s="1">
        <f>_xlfn.NORM.DIST(D8, C23, C24, FALSE)</f>
        <v>1.578514287755503E-6</v>
      </c>
      <c r="F8" s="18">
        <f t="shared" si="0"/>
        <v>23.35</v>
      </c>
      <c r="G8" s="5">
        <f t="shared" si="1"/>
        <v>11.67500789257144</v>
      </c>
      <c r="H8" s="19" t="s">
        <v>67</v>
      </c>
    </row>
    <row r="9" spans="1:21" x14ac:dyDescent="0.25">
      <c r="A9" s="1" t="s">
        <v>16</v>
      </c>
      <c r="B9" s="1" t="s">
        <v>17</v>
      </c>
      <c r="C9" s="16">
        <v>0.76469907407407411</v>
      </c>
      <c r="D9" s="1">
        <v>7</v>
      </c>
      <c r="E9" s="1">
        <f>_xlfn.NORM.DIST(D9, C23, C24, FALSE)</f>
        <v>6.505620412120747E-6</v>
      </c>
      <c r="F9" s="18">
        <f t="shared" si="0"/>
        <v>18.352777777777778</v>
      </c>
      <c r="G9" s="5">
        <f t="shared" si="1"/>
        <v>9.1764214169909497</v>
      </c>
      <c r="H9" s="19" t="s">
        <v>68</v>
      </c>
      <c r="R9" s="1" t="s">
        <v>44</v>
      </c>
      <c r="S9" s="1" t="s">
        <v>45</v>
      </c>
      <c r="T9" s="1" t="s">
        <v>46</v>
      </c>
      <c r="U9" s="1" t="s">
        <v>47</v>
      </c>
    </row>
    <row r="10" spans="1:21" x14ac:dyDescent="0.25">
      <c r="A10" s="1" t="s">
        <v>18</v>
      </c>
      <c r="B10" s="1" t="s">
        <v>19</v>
      </c>
      <c r="C10" s="16">
        <v>0.81597222222222221</v>
      </c>
      <c r="D10" s="1">
        <v>8</v>
      </c>
      <c r="E10" s="1">
        <f>_xlfn.NORM.DIST(D10, C23, C24, FALSE)</f>
        <v>2.4379474261639829E-5</v>
      </c>
      <c r="F10" s="18">
        <f t="shared" si="0"/>
        <v>19.583333333333332</v>
      </c>
      <c r="G10" s="5">
        <f t="shared" si="1"/>
        <v>9.791788564037974</v>
      </c>
      <c r="H10" s="19" t="s">
        <v>69</v>
      </c>
      <c r="R10" s="1" t="s">
        <v>48</v>
      </c>
      <c r="S10" s="1" t="s">
        <v>49</v>
      </c>
      <c r="T10" s="2" t="s">
        <v>50</v>
      </c>
      <c r="U10" s="1" t="s">
        <v>51</v>
      </c>
    </row>
    <row r="11" spans="1:21" x14ac:dyDescent="0.25">
      <c r="A11" s="1" t="s">
        <v>20</v>
      </c>
      <c r="B11" s="1" t="s">
        <v>21</v>
      </c>
      <c r="C11" s="16">
        <v>0.83481481481481479</v>
      </c>
      <c r="D11" s="1">
        <v>9</v>
      </c>
      <c r="E11" s="1">
        <f>_xlfn.NORM.DIST(D11, C23, C24, FALSE)</f>
        <v>8.3072133835089082E-5</v>
      </c>
      <c r="F11" s="18">
        <f t="shared" si="0"/>
        <v>20.035555555555554</v>
      </c>
      <c r="G11" s="5">
        <f t="shared" si="1"/>
        <v>10.018193138446952</v>
      </c>
      <c r="H11" s="19" t="s">
        <v>70</v>
      </c>
      <c r="R11" s="1" t="s">
        <v>52</v>
      </c>
      <c r="S11" s="1" t="s">
        <v>53</v>
      </c>
      <c r="T11" s="1" t="s">
        <v>54</v>
      </c>
      <c r="U11" s="1" t="s">
        <v>55</v>
      </c>
    </row>
    <row r="12" spans="1:21" x14ac:dyDescent="0.25">
      <c r="A12" s="1" t="s">
        <v>22</v>
      </c>
      <c r="B12" s="1" t="s">
        <v>23</v>
      </c>
      <c r="C12" s="16">
        <v>0.75748842592592591</v>
      </c>
      <c r="D12" s="1">
        <v>10</v>
      </c>
      <c r="E12" s="1">
        <f>_xlfn.NORM.DIST(D12, C23, C24, FALSE)</f>
        <v>2.5738415663641644E-4</v>
      </c>
      <c r="F12" s="18">
        <f t="shared" si="0"/>
        <v>18.179722222222221</v>
      </c>
      <c r="G12" s="5">
        <f t="shared" si="1"/>
        <v>9.0911480318942921</v>
      </c>
      <c r="H12" s="19" t="s">
        <v>71</v>
      </c>
      <c r="R12" s="1" t="s">
        <v>56</v>
      </c>
      <c r="S12" s="3">
        <v>1</v>
      </c>
      <c r="T12" s="4" t="s">
        <v>57</v>
      </c>
      <c r="U12" s="1" t="s">
        <v>58</v>
      </c>
    </row>
    <row r="13" spans="1:21" x14ac:dyDescent="0.25">
      <c r="A13" s="1" t="s">
        <v>24</v>
      </c>
      <c r="B13" s="1" t="s">
        <v>25</v>
      </c>
      <c r="C13" s="16">
        <v>0.875</v>
      </c>
      <c r="D13" s="1">
        <v>11</v>
      </c>
      <c r="E13" s="1">
        <f>_xlfn.NORM.DIST(D13, C23, C24, FALSE)</f>
        <v>7.2510962227717211E-4</v>
      </c>
      <c r="F13" s="18">
        <f t="shared" si="0"/>
        <v>21</v>
      </c>
      <c r="G13" s="5">
        <f t="shared" si="1"/>
        <v>10.503625548111385</v>
      </c>
      <c r="H13" s="19" t="s">
        <v>80</v>
      </c>
    </row>
    <row r="14" spans="1:21" x14ac:dyDescent="0.25">
      <c r="A14" s="1" t="s">
        <v>26</v>
      </c>
      <c r="B14" s="1" t="s">
        <v>27</v>
      </c>
      <c r="C14" s="16">
        <v>0.93865740740740744</v>
      </c>
      <c r="D14" s="1">
        <v>12</v>
      </c>
      <c r="E14" s="1">
        <f>_xlfn.NORM.DIST(D14, C23, C24, FALSE)</f>
        <v>1.857466287800437E-3</v>
      </c>
      <c r="F14" s="18">
        <f t="shared" si="0"/>
        <v>22.527777777777779</v>
      </c>
      <c r="G14" s="5">
        <f t="shared" si="1"/>
        <v>11.273176220327892</v>
      </c>
      <c r="H14" s="19" t="s">
        <v>72</v>
      </c>
    </row>
    <row r="15" spans="1:21" x14ac:dyDescent="0.25">
      <c r="A15" s="1" t="s">
        <v>7</v>
      </c>
      <c r="B15" s="1" t="s">
        <v>28</v>
      </c>
      <c r="C15" s="17">
        <v>1.0462615740740742</v>
      </c>
      <c r="D15" s="1">
        <v>13</v>
      </c>
      <c r="E15" s="1">
        <f>_xlfn.NORM.DIST(D15, C23, C24, FALSE)</f>
        <v>4.3264692974432006E-3</v>
      </c>
      <c r="F15" s="18">
        <f t="shared" si="0"/>
        <v>25.110277777777782</v>
      </c>
      <c r="G15" s="5">
        <f t="shared" si="1"/>
        <v>12.576771235376107</v>
      </c>
      <c r="H15" s="19" t="s">
        <v>73</v>
      </c>
    </row>
    <row r="16" spans="1:21" x14ac:dyDescent="0.25">
      <c r="A16" s="1" t="s">
        <v>29</v>
      </c>
      <c r="B16" s="1" t="s">
        <v>30</v>
      </c>
      <c r="C16" s="16">
        <v>0.7492361111111111</v>
      </c>
      <c r="D16" s="1">
        <v>14</v>
      </c>
      <c r="E16" s="1">
        <f>_xlfn.NORM.DIST(D16, C23, C24, FALSE)</f>
        <v>9.1630852244853431E-3</v>
      </c>
      <c r="F16" s="18">
        <f t="shared" si="0"/>
        <v>17.981666666666666</v>
      </c>
      <c r="G16" s="5">
        <f t="shared" si="1"/>
        <v>9.0366487594557601</v>
      </c>
      <c r="H16" s="19" t="s">
        <v>74</v>
      </c>
    </row>
    <row r="17" spans="1:18" x14ac:dyDescent="0.25">
      <c r="A17" s="1" t="s">
        <v>31</v>
      </c>
      <c r="B17" s="1" t="s">
        <v>32</v>
      </c>
      <c r="C17" s="16">
        <v>0.80880787037037039</v>
      </c>
      <c r="D17" s="1">
        <v>15</v>
      </c>
      <c r="E17" s="1">
        <f>_xlfn.NORM.DIST(D17, C23, C24, FALSE)</f>
        <v>1.7645957933964701E-2</v>
      </c>
      <c r="F17" s="18">
        <f t="shared" si="0"/>
        <v>19.41138888888889</v>
      </c>
      <c r="G17" s="5">
        <f t="shared" si="1"/>
        <v>9.793924234114268</v>
      </c>
      <c r="H17" s="19" t="s">
        <v>75</v>
      </c>
      <c r="I17" s="22"/>
      <c r="J17" s="22"/>
      <c r="K17" s="22"/>
      <c r="L17" s="22"/>
      <c r="M17" s="22"/>
      <c r="N17" s="22"/>
      <c r="O17" s="22"/>
      <c r="P17" s="22"/>
      <c r="Q17" s="22"/>
      <c r="R17" s="22"/>
    </row>
    <row r="18" spans="1:18" x14ac:dyDescent="0.25">
      <c r="A18" s="1" t="s">
        <v>33</v>
      </c>
      <c r="B18" s="1" t="s">
        <v>34</v>
      </c>
      <c r="C18" s="16">
        <v>0.95706018518518521</v>
      </c>
      <c r="D18" s="1">
        <v>16</v>
      </c>
      <c r="E18" s="1">
        <f>_xlfn.NORM.DIST(D18, C23, C24, FALSE)</f>
        <v>3.089898170251024E-2</v>
      </c>
      <c r="F18" s="18">
        <f t="shared" si="0"/>
        <v>22.969444444444445</v>
      </c>
      <c r="G18" s="5">
        <f t="shared" si="1"/>
        <v>11.639217130734774</v>
      </c>
      <c r="H18" s="19" t="s">
        <v>81</v>
      </c>
      <c r="I18" s="22"/>
      <c r="J18" s="22"/>
      <c r="K18" s="22"/>
      <c r="L18" s="22"/>
      <c r="M18" s="22"/>
      <c r="N18" s="22"/>
      <c r="O18" s="22"/>
      <c r="P18" s="22"/>
      <c r="Q18" s="22"/>
      <c r="R18" s="22"/>
    </row>
    <row r="19" spans="1:18" x14ac:dyDescent="0.25">
      <c r="A19" s="1" t="s">
        <v>35</v>
      </c>
      <c r="B19" s="1" t="s">
        <v>36</v>
      </c>
      <c r="C19" s="16">
        <v>0.79861111111111116</v>
      </c>
      <c r="D19" s="1">
        <v>17</v>
      </c>
      <c r="E19" s="1">
        <f>_xlfn.NORM.DIST(D19, C23, C24, FALSE)</f>
        <v>4.919698732485428E-2</v>
      </c>
      <c r="F19" s="18">
        <f t="shared" si="0"/>
        <v>19.166666666666668</v>
      </c>
      <c r="G19" s="5">
        <f t="shared" si="1"/>
        <v>9.8293182699576054</v>
      </c>
      <c r="H19" s="19" t="s">
        <v>76</v>
      </c>
      <c r="I19" s="22"/>
      <c r="K19" s="22"/>
      <c r="L19" s="22"/>
      <c r="M19" s="22"/>
      <c r="N19" s="22"/>
      <c r="O19" s="22"/>
      <c r="P19" s="22"/>
      <c r="Q19" s="22"/>
      <c r="R19" s="22"/>
    </row>
    <row r="20" spans="1:18" x14ac:dyDescent="0.25">
      <c r="A20" s="1" t="s">
        <v>31</v>
      </c>
      <c r="B20" s="1" t="s">
        <v>37</v>
      </c>
      <c r="C20" s="16">
        <v>0.84755787037037034</v>
      </c>
      <c r="D20" s="1">
        <v>18</v>
      </c>
      <c r="E20" s="1">
        <f>_xlfn.NORM.DIST(D20, C23, C24, FALSE)</f>
        <v>7.1224312215280444E-2</v>
      </c>
      <c r="F20" s="18">
        <f t="shared" si="0"/>
        <v>20.341388888888886</v>
      </c>
      <c r="G20" s="5">
        <f t="shared" si="1"/>
        <v>10.526816005520846</v>
      </c>
      <c r="H20" s="19" t="s">
        <v>77</v>
      </c>
      <c r="I20" s="22"/>
      <c r="J20" s="22"/>
      <c r="K20" s="22"/>
      <c r="L20" s="22"/>
      <c r="M20" s="22"/>
      <c r="N20" s="22"/>
      <c r="O20" s="22"/>
      <c r="P20" s="22"/>
      <c r="Q20" s="22"/>
      <c r="R20" s="22"/>
    </row>
    <row r="21" spans="1:18" x14ac:dyDescent="0.25">
      <c r="A21" s="1" t="s">
        <v>38</v>
      </c>
      <c r="B21" s="1" t="s">
        <v>39</v>
      </c>
      <c r="C21" s="16">
        <v>0.75665509259259256</v>
      </c>
      <c r="D21" s="1">
        <v>19</v>
      </c>
      <c r="E21" s="1">
        <f>_xlfn.NORM.DIST(D21, C23, C24, FALSE)</f>
        <v>9.3759100775129084E-2</v>
      </c>
      <c r="F21" s="18">
        <f t="shared" si="0"/>
        <v>18.159722222222221</v>
      </c>
      <c r="G21" s="5">
        <f t="shared" si="1"/>
        <v>9.548656614986756</v>
      </c>
      <c r="H21" s="19" t="s">
        <v>78</v>
      </c>
      <c r="I21" s="22"/>
      <c r="J21" s="22"/>
      <c r="K21" s="22"/>
      <c r="L21" s="22"/>
      <c r="M21" s="22"/>
      <c r="N21" s="22"/>
      <c r="O21" s="22"/>
      <c r="P21" s="22"/>
      <c r="Q21" s="22"/>
      <c r="R21" s="22"/>
    </row>
    <row r="22" spans="1:18" x14ac:dyDescent="0.25">
      <c r="A22" s="1"/>
      <c r="B22" s="1"/>
      <c r="C22" s="1"/>
      <c r="D22" s="1">
        <v>20</v>
      </c>
      <c r="E22" s="1">
        <f>_xlfn.NORM.DIST(D22, C23, C24, FALSE)</f>
        <v>0.11222613768124692</v>
      </c>
      <c r="F22" s="1"/>
      <c r="G22" s="21"/>
      <c r="H22" s="1"/>
      <c r="I22" s="22"/>
      <c r="J22" s="22"/>
      <c r="K22" s="22"/>
      <c r="L22" s="22"/>
      <c r="M22" s="22"/>
      <c r="N22" s="22"/>
      <c r="O22" s="22"/>
      <c r="P22" s="22"/>
      <c r="Q22" s="22"/>
      <c r="R22" s="22"/>
    </row>
    <row r="23" spans="1:18" x14ac:dyDescent="0.25">
      <c r="A23" s="1"/>
      <c r="B23" s="12" t="s">
        <v>40</v>
      </c>
      <c r="C23" s="10">
        <f>AVERAGE(F2:F21)</f>
        <v>21.390361111111112</v>
      </c>
      <c r="D23" s="1">
        <v>21</v>
      </c>
      <c r="E23" s="1">
        <f>_xlfn.NORM.DIST(D23, C23, C24, FALSE)</f>
        <v>0.12214340252238683</v>
      </c>
      <c r="F23" s="1"/>
      <c r="G23" s="7">
        <f>AVERAGE(G2:G21)</f>
        <v>10.764973261382725</v>
      </c>
      <c r="H23" s="1"/>
      <c r="I23" s="22"/>
      <c r="J23" s="22"/>
      <c r="K23" s="22"/>
      <c r="L23" s="22"/>
      <c r="M23" s="22"/>
      <c r="N23" s="22"/>
      <c r="O23" s="22"/>
      <c r="P23" s="22"/>
      <c r="Q23" s="22"/>
      <c r="R23" s="22"/>
    </row>
    <row r="24" spans="1:18" x14ac:dyDescent="0.25">
      <c r="A24" s="1"/>
      <c r="B24" s="13" t="s">
        <v>41</v>
      </c>
      <c r="C24" s="11">
        <f>_xlfn.STDEV.P(F2:F21)</f>
        <v>3.2425973124978826</v>
      </c>
      <c r="D24" s="1">
        <v>22</v>
      </c>
      <c r="E24" s="1">
        <f>_xlfn.NORM.DIST(D24, C23, C24, FALSE)</f>
        <v>0.1208763743376253</v>
      </c>
      <c r="F24" s="1"/>
      <c r="G24" s="1"/>
      <c r="H24" s="1"/>
      <c r="I24" s="22"/>
      <c r="J24" s="22"/>
      <c r="K24" s="22"/>
      <c r="L24" s="22"/>
      <c r="M24" s="22"/>
      <c r="N24" s="22"/>
      <c r="O24" s="22"/>
      <c r="P24" s="22"/>
      <c r="Q24" s="22"/>
      <c r="R24" s="22"/>
    </row>
    <row r="25" spans="1:18" x14ac:dyDescent="0.25">
      <c r="A25" s="1"/>
      <c r="B25" s="1"/>
      <c r="C25" s="1"/>
      <c r="D25" s="1">
        <v>23</v>
      </c>
      <c r="E25" s="1">
        <f>_xlfn.NORM.DIST(D25, C23, C24, FALSE)</f>
        <v>0.10876977995447078</v>
      </c>
      <c r="F25" s="1"/>
      <c r="G25" s="1"/>
      <c r="H25" s="1"/>
      <c r="I25" s="22"/>
      <c r="J25" s="22"/>
      <c r="K25" s="22"/>
      <c r="L25" s="22"/>
      <c r="M25" s="22"/>
      <c r="N25" s="22"/>
      <c r="O25" s="22"/>
      <c r="P25" s="22"/>
      <c r="Q25" s="22"/>
      <c r="R25" s="22"/>
    </row>
    <row r="26" spans="1:18" x14ac:dyDescent="0.25">
      <c r="A26" s="1"/>
      <c r="B26" s="1"/>
      <c r="C26" s="1"/>
      <c r="D26" s="1">
        <v>24</v>
      </c>
      <c r="E26" s="1">
        <f>_xlfn.NORM.DIST(D26, C23, C24, FALSE)</f>
        <v>8.8996000304417122E-2</v>
      </c>
      <c r="F26" s="1"/>
      <c r="G26" s="1"/>
      <c r="H26" s="1"/>
      <c r="I26" s="22"/>
      <c r="J26" s="22"/>
      <c r="K26" s="22"/>
      <c r="L26" s="22"/>
      <c r="M26" s="22"/>
      <c r="N26" s="22"/>
      <c r="O26" s="22"/>
      <c r="P26" s="22"/>
      <c r="Q26" s="22"/>
      <c r="R26" s="22"/>
    </row>
    <row r="27" spans="1:18" x14ac:dyDescent="0.25">
      <c r="A27" s="1"/>
      <c r="B27" s="1"/>
      <c r="C27" s="1"/>
      <c r="D27" s="1">
        <v>25</v>
      </c>
      <c r="E27" s="1">
        <f>_xlfn.NORM.DIST(D27, C23, C24, FALSE)</f>
        <v>6.621069424473329E-2</v>
      </c>
      <c r="F27" s="1"/>
      <c r="G27" s="1"/>
      <c r="H27" s="1"/>
      <c r="I27" s="22"/>
      <c r="J27" s="22"/>
      <c r="K27" s="22"/>
      <c r="L27" s="22"/>
      <c r="M27" s="22"/>
      <c r="N27" s="22"/>
      <c r="O27" s="22"/>
      <c r="P27" s="22"/>
      <c r="Q27" s="22"/>
      <c r="R27" s="22"/>
    </row>
    <row r="28" spans="1:18" x14ac:dyDescent="0.25">
      <c r="A28" s="9"/>
      <c r="B28" s="9"/>
      <c r="C28" s="9"/>
      <c r="D28" s="9"/>
      <c r="E28" s="9"/>
      <c r="F28" s="9"/>
      <c r="G28" s="9"/>
      <c r="H28" s="9"/>
      <c r="I28" s="22"/>
      <c r="J28" s="22"/>
      <c r="K28" s="22"/>
      <c r="L28" s="22"/>
      <c r="M28" s="22"/>
      <c r="N28" s="22"/>
      <c r="O28" s="22"/>
      <c r="P28" s="22"/>
      <c r="Q28" s="22"/>
      <c r="R28" s="22"/>
    </row>
    <row r="29" spans="1:18" x14ac:dyDescent="0.25">
      <c r="A29" s="8"/>
      <c r="B29" s="8"/>
      <c r="C29" s="8"/>
      <c r="D29" s="8"/>
      <c r="E29" s="8"/>
      <c r="F29" s="8"/>
      <c r="G29" s="8"/>
      <c r="H29" s="8"/>
      <c r="I29" s="22"/>
      <c r="J29" s="22"/>
      <c r="K29" s="22"/>
      <c r="L29" s="22"/>
      <c r="M29" s="22"/>
      <c r="N29" s="22"/>
      <c r="O29" s="22"/>
      <c r="P29" s="22"/>
      <c r="Q29" s="22"/>
      <c r="R29" s="22"/>
    </row>
    <row r="30" spans="1:18" x14ac:dyDescent="0.25">
      <c r="A30" s="8"/>
      <c r="B30" s="8"/>
      <c r="C30" s="8"/>
      <c r="D30" s="8"/>
      <c r="E30" s="8"/>
      <c r="F30" s="8"/>
      <c r="G30" s="8"/>
      <c r="H30" s="8"/>
      <c r="I30" s="22"/>
      <c r="J30" s="22"/>
      <c r="K30" s="22"/>
      <c r="L30" s="22"/>
      <c r="M30" s="22"/>
      <c r="N30" s="22"/>
      <c r="O30" s="22"/>
      <c r="P30" s="22"/>
      <c r="Q30" s="22"/>
      <c r="R30" s="22"/>
    </row>
    <row r="31" spans="1:18" x14ac:dyDescent="0.25">
      <c r="I31" s="22"/>
      <c r="J31" s="22"/>
      <c r="K31" s="22"/>
      <c r="L31" s="22"/>
      <c r="M31" s="22"/>
      <c r="N31" s="22"/>
      <c r="O31" s="22"/>
      <c r="P31" s="22"/>
      <c r="Q31" s="22"/>
      <c r="R31" s="22"/>
    </row>
    <row r="32" spans="1:18" x14ac:dyDescent="0.25">
      <c r="I32" s="22"/>
      <c r="J32" s="22"/>
      <c r="K32" s="22"/>
      <c r="L32" s="22"/>
      <c r="M32" s="22"/>
      <c r="N32" s="22"/>
      <c r="O32" s="22"/>
      <c r="P32" s="22"/>
      <c r="Q32" s="22"/>
      <c r="R32" s="22"/>
    </row>
    <row r="33" spans="5:18" x14ac:dyDescent="0.25">
      <c r="E33" s="6"/>
      <c r="I33" s="22"/>
      <c r="J33" s="22"/>
      <c r="K33" s="22"/>
      <c r="L33" s="22"/>
      <c r="M33" s="22"/>
      <c r="N33" s="22"/>
      <c r="O33" s="22"/>
      <c r="P33" s="22"/>
      <c r="Q33" s="22"/>
      <c r="R33" s="22"/>
    </row>
    <row r="34" spans="5:18" x14ac:dyDescent="0.25">
      <c r="I34" s="22"/>
      <c r="J34" s="22"/>
      <c r="K34" s="22"/>
      <c r="L34" s="22"/>
      <c r="M34" s="22"/>
      <c r="N34" s="22"/>
      <c r="O34" s="22"/>
      <c r="P34" s="22"/>
      <c r="Q34" s="22"/>
      <c r="R34" s="22"/>
    </row>
    <row r="35" spans="5:18" x14ac:dyDescent="0.25">
      <c r="I35" s="22"/>
      <c r="J35" s="22"/>
      <c r="K35" s="22"/>
      <c r="L35" s="22"/>
      <c r="M35" s="22"/>
      <c r="N35" s="22"/>
      <c r="O35" s="22"/>
      <c r="P35" s="22"/>
      <c r="Q35" s="22"/>
      <c r="R35" s="22"/>
    </row>
    <row r="36" spans="5:18" x14ac:dyDescent="0.25">
      <c r="I36" s="22"/>
      <c r="J36" s="22"/>
      <c r="K36" s="22"/>
      <c r="L36" s="22"/>
      <c r="M36" s="22"/>
      <c r="N36" s="22"/>
      <c r="O36" s="22"/>
      <c r="P36" s="22"/>
      <c r="Q36" s="22"/>
      <c r="R36" s="22"/>
    </row>
    <row r="37" spans="5:18" x14ac:dyDescent="0.25">
      <c r="I37" s="22"/>
      <c r="J37" s="22"/>
      <c r="K37" s="22"/>
      <c r="L37" s="22"/>
      <c r="M37" s="22"/>
      <c r="N37" s="22"/>
      <c r="O37" s="22"/>
      <c r="P37" s="22"/>
      <c r="Q37" s="22"/>
      <c r="R37" s="22"/>
    </row>
    <row r="38" spans="5:18" x14ac:dyDescent="0.25">
      <c r="I38" s="22"/>
      <c r="J38" s="22"/>
      <c r="K38" s="22"/>
      <c r="L38" s="22"/>
      <c r="M38" s="22"/>
      <c r="N38" s="22"/>
      <c r="O38" s="22"/>
      <c r="P38" s="22"/>
      <c r="Q38" s="22"/>
      <c r="R38" s="22"/>
    </row>
    <row r="39" spans="5:18" x14ac:dyDescent="0.25">
      <c r="I39" s="22"/>
      <c r="J39" s="22"/>
      <c r="K39" s="22"/>
      <c r="L39" s="22"/>
      <c r="M39" s="22"/>
      <c r="N39" s="22"/>
      <c r="O39" s="22"/>
      <c r="P39" s="22"/>
      <c r="Q39" s="22"/>
      <c r="R39" s="22"/>
    </row>
    <row r="40" spans="5:18" x14ac:dyDescent="0.25">
      <c r="I40" s="22"/>
      <c r="J40" s="22"/>
      <c r="K40" s="22"/>
      <c r="L40" s="22"/>
      <c r="M40" s="22"/>
      <c r="N40" s="22"/>
      <c r="O40" s="22"/>
      <c r="P40" s="22"/>
      <c r="Q40" s="22"/>
      <c r="R40" s="22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Terrazas Lobato</dc:creator>
  <cp:lastModifiedBy>SERGIO TERRAZAS LOBATO</cp:lastModifiedBy>
  <dcterms:created xsi:type="dcterms:W3CDTF">2015-06-05T18:19:34Z</dcterms:created>
  <dcterms:modified xsi:type="dcterms:W3CDTF">2026-04-15T14:21:02Z</dcterms:modified>
</cp:coreProperties>
</file>
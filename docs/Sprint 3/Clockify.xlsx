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ergi\Desktop\"/>
    </mc:Choice>
  </mc:AlternateContent>
  <xr:revisionPtr revIDLastSave="0" documentId="13_ncr:1_{C764BD9C-E02C-47BF-8B5F-77A76556590F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C24" i="1" l="1"/>
  <c r="C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7" i="1" l="1"/>
  <c r="E26" i="1"/>
  <c r="E3" i="1"/>
  <c r="E8" i="1"/>
  <c r="E12" i="1"/>
  <c r="E16" i="1"/>
  <c r="E20" i="1"/>
  <c r="E24" i="1"/>
  <c r="E5" i="1"/>
  <c r="E9" i="1"/>
  <c r="E13" i="1"/>
  <c r="E17" i="1"/>
  <c r="E21" i="1"/>
  <c r="E25" i="1"/>
  <c r="E2" i="1"/>
  <c r="E6" i="1"/>
  <c r="E10" i="1"/>
  <c r="E14" i="1"/>
  <c r="E18" i="1"/>
  <c r="E22" i="1"/>
  <c r="E4" i="1"/>
  <c r="E7" i="1"/>
  <c r="E11" i="1"/>
  <c r="E15" i="1"/>
  <c r="E19" i="1"/>
  <c r="E23" i="1"/>
</calcChain>
</file>

<file path=xl/sharedStrings.xml><?xml version="1.0" encoding="utf-8"?>
<sst xmlns="http://schemas.openxmlformats.org/spreadsheetml/2006/main" count="85" uniqueCount="82">
  <si>
    <t>Nombre</t>
  </si>
  <si>
    <t>Apellidos</t>
  </si>
  <si>
    <t>Horas Clockify</t>
  </si>
  <si>
    <t>Santia</t>
  </si>
  <si>
    <t>Bregu</t>
  </si>
  <si>
    <t>Pablo</t>
  </si>
  <si>
    <t>Arrabal Hermoso</t>
  </si>
  <si>
    <t>Manuel</t>
  </si>
  <si>
    <t>Zoilo Buzon Muñoz</t>
  </si>
  <si>
    <t>Chica Lopez</t>
  </si>
  <si>
    <t>Celia del Pilar</t>
  </si>
  <si>
    <t>Dorantes Ruiz</t>
  </si>
  <si>
    <t>Santiago</t>
  </si>
  <si>
    <t>Fernandez Roman</t>
  </si>
  <si>
    <t>Raquel</t>
  </si>
  <si>
    <t xml:space="preserve"> García Hortal</t>
  </si>
  <si>
    <t>Oscar</t>
  </si>
  <si>
    <t xml:space="preserve"> Gomez Gonzalez</t>
  </si>
  <si>
    <t xml:space="preserve"> Manuel</t>
  </si>
  <si>
    <t xml:space="preserve"> Lavado Corredera</t>
  </si>
  <si>
    <t>Guillermo</t>
  </si>
  <si>
    <t>Linares Borrego</t>
  </si>
  <si>
    <t xml:space="preserve"> Ana</t>
  </si>
  <si>
    <t>Martin Carrillo</t>
  </si>
  <si>
    <t xml:space="preserve"> Miguel</t>
  </si>
  <si>
    <t>Arturo Mir Ceballos</t>
  </si>
  <si>
    <t xml:space="preserve"> Roberto</t>
  </si>
  <si>
    <t>Muñoz Perez</t>
  </si>
  <si>
    <t xml:space="preserve"> Orta Perez</t>
  </si>
  <si>
    <t xml:space="preserve"> Javier</t>
  </si>
  <si>
    <t xml:space="preserve"> Pallarés González</t>
  </si>
  <si>
    <t xml:space="preserve"> Dario</t>
  </si>
  <si>
    <t xml:space="preserve"> Rodriguez Sastre</t>
  </si>
  <si>
    <t>Jose Maria</t>
  </si>
  <si>
    <t>Silva Guzman</t>
  </si>
  <si>
    <t>Sergio</t>
  </si>
  <si>
    <t xml:space="preserve"> Terrazas Lobato</t>
  </si>
  <si>
    <t>Zafra Ruiz</t>
  </si>
  <si>
    <t>Jose</t>
  </si>
  <si>
    <t>Egido Carnereo</t>
  </si>
  <si>
    <t>Media:</t>
  </si>
  <si>
    <t>Desviación Estándar:</t>
  </si>
  <si>
    <t>Horas de Dedicación</t>
  </si>
  <si>
    <t>Densidad de Probabilidad</t>
  </si>
  <si>
    <t>Métrica</t>
  </si>
  <si>
    <t>Valor</t>
  </si>
  <si>
    <t>Estado</t>
  </si>
  <si>
    <t>Observación</t>
  </si>
  <si>
    <t>Media Semanal</t>
  </si>
  <si>
    <t>9.3h</t>
  </si>
  <si>
    <t>🟡</t>
  </si>
  <si>
    <t>Muy cerca del objetivo de 10h.</t>
  </si>
  <si>
    <t>Desviación ($\sigma$)</t>
  </si>
  <si>
    <t>5.8h</t>
  </si>
  <si>
    <t>⚪</t>
  </si>
  <si>
    <t>Alta dispersión por tareas críticas de larga duración.</t>
  </si>
  <si>
    <t>Cumplimiento</t>
  </si>
  <si>
    <t>🟢</t>
  </si>
  <si>
    <t>Disciplina total en el uso de Clockify.</t>
  </si>
  <si>
    <t>Notas total #S3 (metricas + clocki)</t>
  </si>
  <si>
    <t>Horas clocki decimal</t>
  </si>
  <si>
    <t>Iniciales</t>
  </si>
  <si>
    <t>SB</t>
  </si>
  <si>
    <t>PAH</t>
  </si>
  <si>
    <t>MZBM</t>
  </si>
  <si>
    <t>MCL</t>
  </si>
  <si>
    <t>SFR</t>
  </si>
  <si>
    <t>RGH</t>
  </si>
  <si>
    <t>OGG</t>
  </si>
  <si>
    <t>MLC</t>
  </si>
  <si>
    <t>GLB</t>
  </si>
  <si>
    <t>AMC</t>
  </si>
  <si>
    <t>RMP</t>
  </si>
  <si>
    <t>MOP</t>
  </si>
  <si>
    <t>JPG</t>
  </si>
  <si>
    <t>DRS</t>
  </si>
  <si>
    <t>STL</t>
  </si>
  <si>
    <t>DZR</t>
  </si>
  <si>
    <t>JEC</t>
  </si>
  <si>
    <t>CPDR</t>
  </si>
  <si>
    <t>MAMC</t>
  </si>
  <si>
    <t>JMSG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</si>
</sst>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21" fontId="0" fillId="0" borderId="0" xfId="0" applyNumberFormat="1"/>
    <xf numFmtId="0" fontId="0" fillId="0" borderId="0" xfId="0" applyFon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2" fontId="5" fillId="0" borderId="0" xfId="1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Distribución del Esfuerzo Sprint 3 (Clockify)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Hoja1!$D$2:$D$27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Hoja1!$E$2:$E$27</c:f>
              <c:numCache>
                <c:formatCode>General</c:formatCode>
                <c:ptCount val="26"/>
                <c:pt idx="0">
                  <c:v>2.2218545233217101E-2</c:v>
                </c:pt>
                <c:pt idx="1">
                  <c:v>2.6983539181641642E-167</c:v>
                </c:pt>
                <c:pt idx="2">
                  <c:v>3.2693965909748872E-2</c:v>
                </c:pt>
                <c:pt idx="3">
                  <c:v>3.8300164745237071E-2</c:v>
                </c:pt>
                <c:pt idx="4">
                  <c:v>4.383675261853278E-2</c:v>
                </c:pt>
                <c:pt idx="5">
                  <c:v>4.9020846112334739E-2</c:v>
                </c:pt>
                <c:pt idx="6">
                  <c:v>5.3558441055453709E-2</c:v>
                </c:pt>
                <c:pt idx="7">
                  <c:v>5.7171521159556989E-2</c:v>
                </c:pt>
                <c:pt idx="8">
                  <c:v>5.9626080733623271E-2</c:v>
                </c:pt>
                <c:pt idx="9">
                  <c:v>6.0757161486998508E-2</c:v>
                </c:pt>
                <c:pt idx="10">
                  <c:v>6.0487186450927155E-2</c:v>
                </c:pt>
                <c:pt idx="11">
                  <c:v>5.8834760210180449E-2</c:v>
                </c:pt>
                <c:pt idx="12">
                  <c:v>5.5912548458414646E-2</c:v>
                </c:pt>
                <c:pt idx="13">
                  <c:v>5.1914572645209558E-2</c:v>
                </c:pt>
                <c:pt idx="14">
                  <c:v>4.7094910396608521E-2</c:v>
                </c:pt>
                <c:pt idx="15">
                  <c:v>4.1741049317978722E-2</c:v>
                </c:pt>
                <c:pt idx="16">
                  <c:v>3.6145767099709965E-2</c:v>
                </c:pt>
                <c:pt idx="17">
                  <c:v>3.0581319867986272E-2</c:v>
                </c:pt>
                <c:pt idx="18">
                  <c:v>2.5278988981672211E-2</c:v>
                </c:pt>
                <c:pt idx="19">
                  <c:v>2.0415869067398281E-2</c:v>
                </c:pt>
                <c:pt idx="20">
                  <c:v>1.6109450952465534E-2</c:v>
                </c:pt>
                <c:pt idx="21">
                  <c:v>1.2419333855944766E-2</c:v>
                </c:pt>
                <c:pt idx="22">
                  <c:v>9.3544996021318171E-3</c:v>
                </c:pt>
                <c:pt idx="23">
                  <c:v>6.8841054739413148E-3</c:v>
                </c:pt>
                <c:pt idx="24">
                  <c:v>4.9497032959050285E-3</c:v>
                </c:pt>
                <c:pt idx="25">
                  <c:v>3.4770866463822328E-3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E7-4C24-9B31-2AB618587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329568"/>
        <c:axId val="1404319488"/>
      </c:scatterChart>
      <c:valAx>
        <c:axId val="140432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19488"/>
        <c:crosses val="autoZero"/>
        <c:crossBetween val="midCat"/>
      </c:valAx>
      <c:valAx>
        <c:axId val="140431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2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Matriz de Productividad: Esfuerzo vs. Desempeño.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Notas total #S3 (metricas + clocki)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5232C7B-A338-43EC-A13D-3B83B2FF328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F54-4DB1-A969-2A7B67D1B0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AC52A7F-0E57-4A5B-A89C-A1898490981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F54-4DB1-A969-2A7B67D1B02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9653E5-400E-4E0F-BF66-FBCC7A4A69B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F54-4DB1-A969-2A7B67D1B02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D7A2A4A-6861-4F21-86A8-2E872C004A9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F54-4DB1-A969-2A7B67D1B02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AD7C93-0466-4125-AD95-C22A3E70AC4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F54-4DB1-A969-2A7B67D1B02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19F6ED2-D50E-4B87-B03A-DC772F413CE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F54-4DB1-A969-2A7B67D1B02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9927F25-15FC-4F2A-A02F-5FCBF57C095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F54-4DB1-A969-2A7B67D1B02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377ABE6-BFDB-4A40-B807-D74F64B7895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F54-4DB1-A969-2A7B67D1B02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CBFC46B-7E94-44F2-9498-0049B5D5226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F54-4DB1-A969-2A7B67D1B02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5D859E9-9F7B-469E-8636-6C139124034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F54-4DB1-A969-2A7B67D1B02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D2CB055-6D2E-4288-ACB2-185BC04E2C0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F54-4DB1-A969-2A7B67D1B02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CDACCC1-9F85-422E-86A5-4CB1681D89F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F54-4DB1-A969-2A7B67D1B02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7742880-0477-4C9F-AFBE-E7D13CBCF6D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F54-4DB1-A969-2A7B67D1B02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26FA39A-EAC9-40DA-AC38-613C4387E05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F54-4DB1-A969-2A7B67D1B02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2C40098-26CD-40D8-BB2B-7B301FF5A9B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F54-4DB1-A969-2A7B67D1B02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9A3C4E6-84D1-43A7-9AB1-50122F675D8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F54-4DB1-A969-2A7B67D1B02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CE9341A-3D82-4A76-A85A-5BBD1FFBB22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F54-4DB1-A969-2A7B67D1B02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278A0D3-1922-4972-BAC2-518A5E15106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F54-4DB1-A969-2A7B67D1B02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66F64A6-9DE5-40C4-BC9D-8CE0B147456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F54-4DB1-A969-2A7B67D1B02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15C7E12-CC5C-467D-B9BF-729B8F44FF4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F54-4DB1-A969-2A7B67D1B0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Hoja1!$F$2:$F$21</c:f>
              <c:numCache>
                <c:formatCode>0.00</c:formatCode>
                <c:ptCount val="20"/>
                <c:pt idx="0">
                  <c:v>7.1969444444444441</c:v>
                </c:pt>
                <c:pt idx="1">
                  <c:v>23.631944444444443</c:v>
                </c:pt>
                <c:pt idx="2">
                  <c:v>8.429722222222221</c:v>
                </c:pt>
                <c:pt idx="3">
                  <c:v>15.091111111111111</c:v>
                </c:pt>
                <c:pt idx="4">
                  <c:v>6.1391666666666671</c:v>
                </c:pt>
                <c:pt idx="5">
                  <c:v>1.7836111111111113</c:v>
                </c:pt>
                <c:pt idx="6">
                  <c:v>5.79</c:v>
                </c:pt>
                <c:pt idx="7">
                  <c:v>23.503888888888888</c:v>
                </c:pt>
                <c:pt idx="8">
                  <c:v>4.1666666666666661</c:v>
                </c:pt>
                <c:pt idx="9">
                  <c:v>6.4141666666666666</c:v>
                </c:pt>
                <c:pt idx="10">
                  <c:v>7.3333333333333339</c:v>
                </c:pt>
                <c:pt idx="11">
                  <c:v>14.8</c:v>
                </c:pt>
                <c:pt idx="12">
                  <c:v>22.139166666666668</c:v>
                </c:pt>
                <c:pt idx="13">
                  <c:v>4.953611111111111</c:v>
                </c:pt>
                <c:pt idx="14">
                  <c:v>4.8891666666666671</c:v>
                </c:pt>
                <c:pt idx="15">
                  <c:v>3.7658333333333331</c:v>
                </c:pt>
                <c:pt idx="16">
                  <c:v>6.0547222222222228</c:v>
                </c:pt>
                <c:pt idx="17">
                  <c:v>7.1999999999999993</c:v>
                </c:pt>
                <c:pt idx="18">
                  <c:v>5.487222222222222</c:v>
                </c:pt>
                <c:pt idx="19">
                  <c:v>7.3980555555555547</c:v>
                </c:pt>
              </c:numCache>
            </c:numRef>
          </c:xVal>
          <c:yVal>
            <c:numRef>
              <c:f>Hoja1!$G$2:$G$21</c:f>
              <c:numCache>
                <c:formatCode>0.00</c:formatCode>
                <c:ptCount val="20"/>
                <c:pt idx="0">
                  <c:v>8.9494907407407407</c:v>
                </c:pt>
                <c:pt idx="1">
                  <c:v>6.9386574074074066</c:v>
                </c:pt>
                <c:pt idx="2">
                  <c:v>9.1549537037037041</c:v>
                </c:pt>
                <c:pt idx="3">
                  <c:v>6.5151851851851852</c:v>
                </c:pt>
                <c:pt idx="4">
                  <c:v>9.0231944444444441</c:v>
                </c:pt>
                <c:pt idx="5">
                  <c:v>7.2972685185185187</c:v>
                </c:pt>
                <c:pt idx="6">
                  <c:v>8.9649999999999999</c:v>
                </c:pt>
                <c:pt idx="7">
                  <c:v>6.917314814814814</c:v>
                </c:pt>
                <c:pt idx="8">
                  <c:v>9.6944444444444446</c:v>
                </c:pt>
                <c:pt idx="9">
                  <c:v>10.069027777777778</c:v>
                </c:pt>
                <c:pt idx="10">
                  <c:v>8.2222222222222214</c:v>
                </c:pt>
                <c:pt idx="11">
                  <c:v>4.9666666666666668</c:v>
                </c:pt>
                <c:pt idx="12">
                  <c:v>6.689861111111111</c:v>
                </c:pt>
                <c:pt idx="13">
                  <c:v>7.825601851851852</c:v>
                </c:pt>
                <c:pt idx="14">
                  <c:v>9.5648611111111101</c:v>
                </c:pt>
                <c:pt idx="15">
                  <c:v>7.6276388888888889</c:v>
                </c:pt>
                <c:pt idx="16">
                  <c:v>8.5091203703703702</c:v>
                </c:pt>
                <c:pt idx="17">
                  <c:v>9.4499999999999993</c:v>
                </c:pt>
                <c:pt idx="18">
                  <c:v>8.9145370370370376</c:v>
                </c:pt>
                <c:pt idx="19">
                  <c:v>9.2330092592592585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Hoja1!$H$2:$H$21</c15:f>
                <c15:dlblRangeCache>
                  <c:ptCount val="20"/>
                  <c:pt idx="0">
                    <c:v>SB</c:v>
                  </c:pt>
                  <c:pt idx="1">
                    <c:v>PAH</c:v>
                  </c:pt>
                  <c:pt idx="2">
                    <c:v>MZBM</c:v>
                  </c:pt>
                  <c:pt idx="3">
                    <c:v>MCL</c:v>
                  </c:pt>
                  <c:pt idx="4">
                    <c:v>CPDR</c:v>
                  </c:pt>
                  <c:pt idx="5">
                    <c:v>SFR</c:v>
                  </c:pt>
                  <c:pt idx="6">
                    <c:v>RGH</c:v>
                  </c:pt>
                  <c:pt idx="7">
                    <c:v>OGG</c:v>
                  </c:pt>
                  <c:pt idx="8">
                    <c:v>MLC</c:v>
                  </c:pt>
                  <c:pt idx="9">
                    <c:v>GLB</c:v>
                  </c:pt>
                  <c:pt idx="10">
                    <c:v>AMC</c:v>
                  </c:pt>
                  <c:pt idx="11">
                    <c:v>MAMC</c:v>
                  </c:pt>
                  <c:pt idx="12">
                    <c:v>RMP</c:v>
                  </c:pt>
                  <c:pt idx="13">
                    <c:v>MOP</c:v>
                  </c:pt>
                  <c:pt idx="14">
                    <c:v>JPG</c:v>
                  </c:pt>
                  <c:pt idx="15">
                    <c:v>DRS</c:v>
                  </c:pt>
                  <c:pt idx="16">
                    <c:v>JMSG</c:v>
                  </c:pt>
                  <c:pt idx="17">
                    <c:v>STL</c:v>
                  </c:pt>
                  <c:pt idx="18">
                    <c:v>DZR</c:v>
                  </c:pt>
                  <c:pt idx="19">
                    <c:v>JEC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F54-4DB1-A969-2A7B67D1B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352608"/>
        <c:axId val="1404363648"/>
      </c:scatterChart>
      <c:valAx>
        <c:axId val="140435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Dedicación (Horas Clockify).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63648"/>
        <c:crossesAt val="8"/>
        <c:crossBetween val="midCat"/>
      </c:valAx>
      <c:valAx>
        <c:axId val="140436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00" b="0" i="0" u="none" strike="noStrike" baseline="0"/>
                  <a:t>Índice de Desempeño.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4352608"/>
        <c:crossesAt val="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7</xdr:row>
      <xdr:rowOff>23812</xdr:rowOff>
    </xdr:from>
    <xdr:to>
      <xdr:col>15</xdr:col>
      <xdr:colOff>342900</xdr:colOff>
      <xdr:row>21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472396-EC24-E6A3-DE42-97BE00A6A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19049</xdr:colOff>
      <xdr:row>24</xdr:row>
      <xdr:rowOff>14287</xdr:rowOff>
    </xdr:from>
    <xdr:to>
      <xdr:col>16</xdr:col>
      <xdr:colOff>600074</xdr:colOff>
      <xdr:row>41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0FA2F2-0D88-CD60-8FFE-7F57D2FB2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topLeftCell="A9" workbookViewId="0">
      <selection activeCell="R20" sqref="R20"/>
    </sheetView>
  </sheetViews>
  <sheetFormatPr baseColWidth="10" defaultColWidth="9.140625" defaultRowHeight="15" x14ac:dyDescent="0.25"/>
  <cols>
    <col min="1" max="1" width="14.7109375" customWidth="1"/>
    <col min="2" max="2" width="23.42578125" customWidth="1"/>
    <col min="3" max="3" width="23" customWidth="1"/>
    <col min="4" max="4" width="18.7109375" customWidth="1"/>
    <col min="5" max="5" width="26.42578125" customWidth="1"/>
    <col min="6" max="6" width="19.42578125" customWidth="1"/>
    <col min="7" max="7" width="17.140625" customWidth="1"/>
    <col min="9" max="10" width="9.140625" customWidth="1"/>
    <col min="12" max="12" width="9.140625" customWidth="1"/>
    <col min="18" max="18" width="21" customWidth="1"/>
    <col min="19" max="19" width="10.85546875" customWidth="1"/>
    <col min="21" max="21" width="48.5703125" customWidth="1"/>
  </cols>
  <sheetData>
    <row r="1" spans="1:21" ht="24" x14ac:dyDescent="0.25">
      <c r="A1" t="s">
        <v>0</v>
      </c>
      <c r="B1" t="s">
        <v>1</v>
      </c>
      <c r="C1" t="s">
        <v>2</v>
      </c>
      <c r="D1" t="s">
        <v>42</v>
      </c>
      <c r="E1" s="2" t="s">
        <v>43</v>
      </c>
      <c r="F1" s="2" t="s">
        <v>60</v>
      </c>
      <c r="G1" s="8" t="s">
        <v>59</v>
      </c>
      <c r="H1" s="2" t="s">
        <v>61</v>
      </c>
    </row>
    <row r="2" spans="1:21" x14ac:dyDescent="0.25">
      <c r="A2" t="s">
        <v>3</v>
      </c>
      <c r="B2" t="s">
        <v>4</v>
      </c>
      <c r="C2" s="1">
        <v>0.29987268518518517</v>
      </c>
      <c r="D2">
        <v>0</v>
      </c>
      <c r="E2">
        <f>_xlfn.NORM.DIST(D2, C23, C24, FALSE)</f>
        <v>2.2218545233217101E-2</v>
      </c>
      <c r="F2" s="3">
        <f>C2*24</f>
        <v>7.1969444444444441</v>
      </c>
      <c r="G2" s="9">
        <v>8.9494907407407407</v>
      </c>
      <c r="H2" t="s">
        <v>62</v>
      </c>
    </row>
    <row r="3" spans="1:21" x14ac:dyDescent="0.25">
      <c r="A3" t="s">
        <v>5</v>
      </c>
      <c r="B3" t="s">
        <v>6</v>
      </c>
      <c r="C3" s="1">
        <v>0.98466435185185186</v>
      </c>
      <c r="D3">
        <v>1</v>
      </c>
      <c r="E3">
        <f>_xlfn.NORM.DIST(D3, C23, C2, FALSE)</f>
        <v>2.6983539181641642E-167</v>
      </c>
      <c r="F3" s="3">
        <f t="shared" ref="F3:F21" si="0">C3*24</f>
        <v>23.631944444444443</v>
      </c>
      <c r="G3" s="9">
        <v>6.9386574074074066</v>
      </c>
      <c r="H3" t="s">
        <v>63</v>
      </c>
    </row>
    <row r="4" spans="1:21" x14ac:dyDescent="0.25">
      <c r="A4" t="s">
        <v>7</v>
      </c>
      <c r="B4" t="s">
        <v>8</v>
      </c>
      <c r="C4" s="1">
        <v>0.35123842592592591</v>
      </c>
      <c r="D4">
        <v>2</v>
      </c>
      <c r="E4">
        <f>_xlfn.NORM.DIST(D4, C23, C24, FALSE)</f>
        <v>3.2693965909748872E-2</v>
      </c>
      <c r="F4" s="3">
        <f t="shared" si="0"/>
        <v>8.429722222222221</v>
      </c>
      <c r="G4" s="9">
        <v>9.1549537037037041</v>
      </c>
      <c r="H4" t="s">
        <v>64</v>
      </c>
    </row>
    <row r="5" spans="1:21" x14ac:dyDescent="0.25">
      <c r="A5" t="s">
        <v>7</v>
      </c>
      <c r="B5" t="s">
        <v>9</v>
      </c>
      <c r="C5" s="1">
        <v>0.6287962962962963</v>
      </c>
      <c r="D5">
        <v>3</v>
      </c>
      <c r="E5">
        <f>_xlfn.NORM.DIST(D5, C23, C24, FALSE)</f>
        <v>3.8300164745237071E-2</v>
      </c>
      <c r="F5" s="3">
        <f t="shared" si="0"/>
        <v>15.091111111111111</v>
      </c>
      <c r="G5" s="9">
        <v>6.5151851851851852</v>
      </c>
      <c r="H5" t="s">
        <v>65</v>
      </c>
    </row>
    <row r="6" spans="1:21" x14ac:dyDescent="0.25">
      <c r="A6" t="s">
        <v>10</v>
      </c>
      <c r="B6" t="s">
        <v>11</v>
      </c>
      <c r="C6" s="1">
        <v>0.25579861111111113</v>
      </c>
      <c r="D6">
        <v>4</v>
      </c>
      <c r="E6">
        <f>_xlfn.NORM.DIST(D6, C23, C24, FALSE)</f>
        <v>4.383675261853278E-2</v>
      </c>
      <c r="F6" s="3">
        <f t="shared" si="0"/>
        <v>6.1391666666666671</v>
      </c>
      <c r="G6" s="9">
        <v>9.0231944444444441</v>
      </c>
      <c r="H6" t="s">
        <v>79</v>
      </c>
    </row>
    <row r="7" spans="1:21" x14ac:dyDescent="0.25">
      <c r="A7" t="s">
        <v>12</v>
      </c>
      <c r="B7" t="s">
        <v>13</v>
      </c>
      <c r="C7" s="1">
        <v>7.4317129629629636E-2</v>
      </c>
      <c r="D7">
        <v>5</v>
      </c>
      <c r="E7">
        <f>_xlfn.NORM.DIST(D7, C23, C24, FALSE)</f>
        <v>4.9020846112334739E-2</v>
      </c>
      <c r="F7" s="3">
        <f t="shared" si="0"/>
        <v>1.7836111111111113</v>
      </c>
      <c r="G7" s="9">
        <v>7.2972685185185187</v>
      </c>
      <c r="H7" t="s">
        <v>66</v>
      </c>
    </row>
    <row r="8" spans="1:21" x14ac:dyDescent="0.25">
      <c r="A8" t="s">
        <v>14</v>
      </c>
      <c r="B8" t="s">
        <v>15</v>
      </c>
      <c r="C8" s="1">
        <v>0.24124999999999999</v>
      </c>
      <c r="D8">
        <v>6</v>
      </c>
      <c r="E8">
        <f>_xlfn.NORM.DIST(D8, C23, C24, FALSE)</f>
        <v>5.3558441055453709E-2</v>
      </c>
      <c r="F8" s="3">
        <f t="shared" si="0"/>
        <v>5.79</v>
      </c>
      <c r="G8" s="9">
        <v>8.9649999999999999</v>
      </c>
      <c r="H8" t="s">
        <v>67</v>
      </c>
    </row>
    <row r="9" spans="1:21" x14ac:dyDescent="0.25">
      <c r="A9" t="s">
        <v>16</v>
      </c>
      <c r="B9" t="s">
        <v>17</v>
      </c>
      <c r="C9" s="1">
        <v>0.97932870370370373</v>
      </c>
      <c r="D9">
        <v>7</v>
      </c>
      <c r="E9">
        <f>_xlfn.NORM.DIST(D9, C23, C24, FALSE)</f>
        <v>5.7171521159556989E-2</v>
      </c>
      <c r="F9" s="3">
        <f t="shared" si="0"/>
        <v>23.503888888888888</v>
      </c>
      <c r="G9" s="9">
        <v>6.917314814814814</v>
      </c>
      <c r="H9" t="s">
        <v>68</v>
      </c>
      <c r="R9" s="4" t="s">
        <v>44</v>
      </c>
      <c r="S9" s="4" t="s">
        <v>45</v>
      </c>
      <c r="T9" s="4" t="s">
        <v>46</v>
      </c>
      <c r="U9" s="4" t="s">
        <v>47</v>
      </c>
    </row>
    <row r="10" spans="1:21" x14ac:dyDescent="0.25">
      <c r="A10" t="s">
        <v>18</v>
      </c>
      <c r="B10" t="s">
        <v>19</v>
      </c>
      <c r="C10" s="1">
        <v>0.1736111111111111</v>
      </c>
      <c r="D10">
        <v>8</v>
      </c>
      <c r="E10">
        <f>_xlfn.NORM.DIST(D10, C23, C24, FALSE)</f>
        <v>5.9626080733623271E-2</v>
      </c>
      <c r="F10" s="3">
        <f t="shared" si="0"/>
        <v>4.1666666666666661</v>
      </c>
      <c r="G10" s="9">
        <v>9.6944444444444446</v>
      </c>
      <c r="H10" t="s">
        <v>69</v>
      </c>
      <c r="R10" s="4" t="s">
        <v>48</v>
      </c>
      <c r="S10" s="4" t="s">
        <v>49</v>
      </c>
      <c r="T10" s="5" t="s">
        <v>50</v>
      </c>
      <c r="U10" s="4" t="s">
        <v>51</v>
      </c>
    </row>
    <row r="11" spans="1:21" x14ac:dyDescent="0.25">
      <c r="A11" t="s">
        <v>20</v>
      </c>
      <c r="B11" t="s">
        <v>21</v>
      </c>
      <c r="C11" s="1">
        <v>0.26725694444444442</v>
      </c>
      <c r="D11">
        <v>9</v>
      </c>
      <c r="E11">
        <f>_xlfn.NORM.DIST(D11, C23, C24, FALSE)</f>
        <v>6.0757161486998508E-2</v>
      </c>
      <c r="F11" s="3">
        <f t="shared" si="0"/>
        <v>6.4141666666666666</v>
      </c>
      <c r="G11" s="9">
        <v>10.069027777777778</v>
      </c>
      <c r="H11" t="s">
        <v>70</v>
      </c>
      <c r="R11" s="4" t="s">
        <v>52</v>
      </c>
      <c r="S11" s="4" t="s">
        <v>53</v>
      </c>
      <c r="T11" s="4" t="s">
        <v>54</v>
      </c>
      <c r="U11" s="4" t="s">
        <v>55</v>
      </c>
    </row>
    <row r="12" spans="1:21" x14ac:dyDescent="0.25">
      <c r="A12" t="s">
        <v>22</v>
      </c>
      <c r="B12" t="s">
        <v>23</v>
      </c>
      <c r="C12" s="1">
        <v>0.30555555555555558</v>
      </c>
      <c r="D12">
        <v>10</v>
      </c>
      <c r="E12">
        <f>_xlfn.NORM.DIST(D12, C23, C24, FALSE)</f>
        <v>6.0487186450927155E-2</v>
      </c>
      <c r="F12" s="3">
        <f t="shared" si="0"/>
        <v>7.3333333333333339</v>
      </c>
      <c r="G12" s="9">
        <v>8.2222222222222214</v>
      </c>
      <c r="H12" t="s">
        <v>71</v>
      </c>
      <c r="R12" s="4" t="s">
        <v>56</v>
      </c>
      <c r="S12" s="6">
        <v>1</v>
      </c>
      <c r="T12" s="7" t="s">
        <v>57</v>
      </c>
      <c r="U12" s="4" t="s">
        <v>58</v>
      </c>
    </row>
    <row r="13" spans="1:21" x14ac:dyDescent="0.25">
      <c r="A13" t="s">
        <v>24</v>
      </c>
      <c r="B13" t="s">
        <v>25</v>
      </c>
      <c r="C13" s="1">
        <v>0.6166666666666667</v>
      </c>
      <c r="D13">
        <v>11</v>
      </c>
      <c r="E13">
        <f>_xlfn.NORM.DIST(D13, C23, C24, FALSE)</f>
        <v>5.8834760210180449E-2</v>
      </c>
      <c r="F13" s="3">
        <f t="shared" si="0"/>
        <v>14.8</v>
      </c>
      <c r="G13" s="9">
        <v>4.9666666666666668</v>
      </c>
      <c r="H13" t="s">
        <v>80</v>
      </c>
    </row>
    <row r="14" spans="1:21" x14ac:dyDescent="0.25">
      <c r="A14" t="s">
        <v>26</v>
      </c>
      <c r="B14" t="s">
        <v>27</v>
      </c>
      <c r="C14" s="1">
        <v>0.92246527777777776</v>
      </c>
      <c r="D14">
        <v>12</v>
      </c>
      <c r="E14">
        <f>_xlfn.NORM.DIST(D14, C23, C24, FALSE)</f>
        <v>5.5912548458414646E-2</v>
      </c>
      <c r="F14" s="3">
        <f t="shared" si="0"/>
        <v>22.139166666666668</v>
      </c>
      <c r="G14" s="9">
        <v>6.689861111111111</v>
      </c>
      <c r="H14" t="s">
        <v>72</v>
      </c>
    </row>
    <row r="15" spans="1:21" x14ac:dyDescent="0.25">
      <c r="A15" t="s">
        <v>7</v>
      </c>
      <c r="B15" t="s">
        <v>28</v>
      </c>
      <c r="C15" s="1">
        <v>0.20640046296296297</v>
      </c>
      <c r="D15">
        <v>13</v>
      </c>
      <c r="E15">
        <f>_xlfn.NORM.DIST(D15, C23, C24, FALSE)</f>
        <v>5.1914572645209558E-2</v>
      </c>
      <c r="F15" s="3">
        <f t="shared" si="0"/>
        <v>4.953611111111111</v>
      </c>
      <c r="G15" s="9">
        <v>7.825601851851852</v>
      </c>
      <c r="H15" t="s">
        <v>73</v>
      </c>
    </row>
    <row r="16" spans="1:21" x14ac:dyDescent="0.25">
      <c r="A16" t="s">
        <v>29</v>
      </c>
      <c r="B16" t="s">
        <v>30</v>
      </c>
      <c r="C16" s="1">
        <v>0.20371527777777779</v>
      </c>
      <c r="D16">
        <v>14</v>
      </c>
      <c r="E16">
        <f>_xlfn.NORM.DIST(D16, C23, C24, FALSE)</f>
        <v>4.7094910396608521E-2</v>
      </c>
      <c r="F16" s="3">
        <f t="shared" si="0"/>
        <v>4.8891666666666671</v>
      </c>
      <c r="G16" s="9">
        <v>9.5648611111111101</v>
      </c>
      <c r="H16" t="s">
        <v>74</v>
      </c>
    </row>
    <row r="17" spans="1:8" x14ac:dyDescent="0.25">
      <c r="A17" t="s">
        <v>31</v>
      </c>
      <c r="B17" t="s">
        <v>32</v>
      </c>
      <c r="C17" s="1">
        <v>0.15690972222222221</v>
      </c>
      <c r="D17">
        <v>15</v>
      </c>
      <c r="E17">
        <f>_xlfn.NORM.DIST(D17, C23, C24, FALSE)</f>
        <v>4.1741049317978722E-2</v>
      </c>
      <c r="F17" s="3">
        <f t="shared" si="0"/>
        <v>3.7658333333333331</v>
      </c>
      <c r="G17" s="9">
        <v>7.6276388888888889</v>
      </c>
      <c r="H17" t="s">
        <v>75</v>
      </c>
    </row>
    <row r="18" spans="1:8" x14ac:dyDescent="0.25">
      <c r="A18" t="s">
        <v>33</v>
      </c>
      <c r="B18" t="s">
        <v>34</v>
      </c>
      <c r="C18" s="1">
        <v>0.2522800925925926</v>
      </c>
      <c r="D18">
        <v>16</v>
      </c>
      <c r="E18">
        <f>_xlfn.NORM.DIST(D18, C23, C24, FALSE)</f>
        <v>3.6145767099709965E-2</v>
      </c>
      <c r="F18" s="3">
        <f t="shared" si="0"/>
        <v>6.0547222222222228</v>
      </c>
      <c r="G18" s="9">
        <v>8.5091203703703702</v>
      </c>
      <c r="H18" t="s">
        <v>81</v>
      </c>
    </row>
    <row r="19" spans="1:8" x14ac:dyDescent="0.25">
      <c r="A19" t="s">
        <v>35</v>
      </c>
      <c r="B19" t="s">
        <v>36</v>
      </c>
      <c r="C19" s="1">
        <v>0.3</v>
      </c>
      <c r="D19">
        <v>17</v>
      </c>
      <c r="E19">
        <f>_xlfn.NORM.DIST(D19, C23, C24, FALSE)</f>
        <v>3.0581319867986272E-2</v>
      </c>
      <c r="F19" s="3">
        <f t="shared" si="0"/>
        <v>7.1999999999999993</v>
      </c>
      <c r="G19" s="9">
        <v>9.4499999999999993</v>
      </c>
      <c r="H19" t="s">
        <v>76</v>
      </c>
    </row>
    <row r="20" spans="1:8" x14ac:dyDescent="0.25">
      <c r="A20" t="s">
        <v>31</v>
      </c>
      <c r="B20" t="s">
        <v>37</v>
      </c>
      <c r="C20" s="1">
        <v>0.22863425925925926</v>
      </c>
      <c r="D20">
        <v>18</v>
      </c>
      <c r="E20">
        <f>_xlfn.NORM.DIST(D20, C23, C24, FALSE)</f>
        <v>2.5278988981672211E-2</v>
      </c>
      <c r="F20" s="3">
        <f t="shared" si="0"/>
        <v>5.487222222222222</v>
      </c>
      <c r="G20" s="9">
        <v>8.9145370370370376</v>
      </c>
      <c r="H20" t="s">
        <v>77</v>
      </c>
    </row>
    <row r="21" spans="1:8" x14ac:dyDescent="0.25">
      <c r="A21" t="s">
        <v>38</v>
      </c>
      <c r="B21" t="s">
        <v>39</v>
      </c>
      <c r="C21" s="1">
        <v>0.3082523148148148</v>
      </c>
      <c r="D21">
        <v>19</v>
      </c>
      <c r="E21">
        <f>_xlfn.NORM.DIST(D21, C23, C24, FALSE)</f>
        <v>2.0415869067398281E-2</v>
      </c>
      <c r="F21" s="3">
        <f t="shared" si="0"/>
        <v>7.3980555555555547</v>
      </c>
      <c r="G21" s="9">
        <v>9.2330092592592585</v>
      </c>
      <c r="H21" t="s">
        <v>78</v>
      </c>
    </row>
    <row r="22" spans="1:8" x14ac:dyDescent="0.25">
      <c r="D22">
        <v>20</v>
      </c>
      <c r="E22">
        <f>_xlfn.NORM.DIST(D22, C23, C24, FALSE)</f>
        <v>1.6109450952465534E-2</v>
      </c>
    </row>
    <row r="23" spans="1:8" x14ac:dyDescent="0.25">
      <c r="B23" t="s">
        <v>40</v>
      </c>
      <c r="C23" s="3">
        <f>AVERAGE(F2:F21)</f>
        <v>9.3084166666666626</v>
      </c>
      <c r="D23">
        <v>21</v>
      </c>
      <c r="E23">
        <f>_xlfn.NORM.DIST(D23, C23, C24, FALSE)</f>
        <v>1.2419333855944766E-2</v>
      </c>
      <c r="G23" s="3">
        <f>AVERAGE(G2:G21)</f>
        <v>8.2264027777777766</v>
      </c>
    </row>
    <row r="24" spans="1:8" x14ac:dyDescent="0.25">
      <c r="B24" t="s">
        <v>41</v>
      </c>
      <c r="C24" s="3">
        <f>_xlfn.STDEV.P(F2:F21)</f>
        <v>6.5589218011554982</v>
      </c>
      <c r="D24">
        <v>22</v>
      </c>
      <c r="E24">
        <f>_xlfn.NORM.DIST(D24, C23, C24, FALSE)</f>
        <v>9.3544996021318171E-3</v>
      </c>
    </row>
    <row r="25" spans="1:8" x14ac:dyDescent="0.25">
      <c r="D25">
        <v>23</v>
      </c>
      <c r="E25">
        <f>_xlfn.NORM.DIST(D25, C23, C24, FALSE)</f>
        <v>6.8841054739413148E-3</v>
      </c>
    </row>
    <row r="26" spans="1:8" x14ac:dyDescent="0.25">
      <c r="D26">
        <v>24</v>
      </c>
      <c r="E26">
        <f>_xlfn.NORM.DIST(D26, C23, C24, FALSE)</f>
        <v>4.9497032959050285E-3</v>
      </c>
    </row>
    <row r="27" spans="1:8" x14ac:dyDescent="0.25">
      <c r="D27">
        <v>25</v>
      </c>
      <c r="E27">
        <f>_xlfn.NORM.DIST(D27, C23, C24, FALSE)</f>
        <v>3.4770866463822328E-3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Terrazas Lobato</dc:creator>
  <cp:lastModifiedBy>SERGIO TERRAZAS LOBATO</cp:lastModifiedBy>
  <dcterms:created xsi:type="dcterms:W3CDTF">2015-06-05T18:19:34Z</dcterms:created>
  <dcterms:modified xsi:type="dcterms:W3CDTF">2026-04-14T19:31:59Z</dcterms:modified>
</cp:coreProperties>
</file>
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rgi\Desktop\ISPP-G8\ISPP-G8\docs\Sprint 3\deliverables\"/>
    </mc:Choice>
  </mc:AlternateContent>
  <xr:revisionPtr revIDLastSave="0" documentId="13_ncr:1_{4700CC28-6D58-4809-94E4-E5B6CB49B7CF}" xr6:coauthVersionLast="47" xr6:coauthVersionMax="47" xr10:uidLastSave="{00000000-0000-0000-0000-000000000000}"/>
  <bookViews>
    <workbookView xWindow="-120" yWindow="-120" windowWidth="20730" windowHeight="11040" firstSheet="1" activeTab="4" xr2:uid="{02C8C9D8-2F21-45BA-9A66-91BB45160C54}"/>
  </bookViews>
  <sheets>
    <sheet name="Contribución a los entregables" sheetId="1" r:id="rId1"/>
    <sheet name="Comentarios sobre #DP" sheetId="2" r:id="rId2"/>
    <sheet name="Comentarios sobre #S1" sheetId="3" r:id="rId3"/>
    <sheet name="Comentarios sobre #S2" sheetId="4" r:id="rId4"/>
    <sheet name="Comentarios sobre #S3" sheetId="7" r:id="rId5"/>
    <sheet name="Comentarios sobre #PPL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7" l="1"/>
  <c r="E4" i="7"/>
  <c r="E5" i="7"/>
  <c r="E6" i="7"/>
  <c r="G6" i="7" s="1"/>
  <c r="E7" i="7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" i="7"/>
  <c r="G2" i="7" s="1"/>
  <c r="G7" i="7"/>
  <c r="G5" i="7"/>
  <c r="G4" i="7"/>
  <c r="G3" i="7"/>
  <c r="G28" i="1"/>
  <c r="G4" i="4"/>
  <c r="G10" i="4"/>
  <c r="G11" i="4"/>
  <c r="G12" i="4"/>
  <c r="G14" i="4"/>
  <c r="G16" i="4"/>
  <c r="G17" i="4"/>
  <c r="G18" i="4"/>
  <c r="E4" i="4"/>
  <c r="E5" i="4"/>
  <c r="G5" i="4" s="1"/>
  <c r="E6" i="4"/>
  <c r="G6" i="4" s="1"/>
  <c r="E7" i="4"/>
  <c r="G7" i="4" s="1"/>
  <c r="E8" i="4"/>
  <c r="G8" i="4" s="1"/>
  <c r="E9" i="4"/>
  <c r="G9" i="4" s="1"/>
  <c r="E10" i="4"/>
  <c r="E11" i="4"/>
  <c r="E12" i="4"/>
  <c r="E13" i="4"/>
  <c r="G13" i="4" s="1"/>
  <c r="E14" i="4"/>
  <c r="E15" i="4"/>
  <c r="G15" i="4" s="1"/>
  <c r="E16" i="4"/>
  <c r="E17" i="4"/>
  <c r="E18" i="4"/>
  <c r="E19" i="4"/>
  <c r="G19" i="4" s="1"/>
  <c r="E20" i="4"/>
  <c r="G20" i="4" s="1"/>
  <c r="E21" i="4"/>
  <c r="G21" i="4" s="1"/>
  <c r="E3" i="4"/>
  <c r="G3" i="4" s="1"/>
  <c r="E2" i="4"/>
  <c r="G2" i="4" s="1"/>
  <c r="C28" i="1"/>
  <c r="C29" i="1" s="1"/>
  <c r="G29" i="1"/>
  <c r="F28" i="1"/>
  <c r="F29" i="1" s="1"/>
  <c r="E28" i="1"/>
  <c r="E29" i="1" s="1"/>
  <c r="D28" i="1"/>
  <c r="D29" i="1" s="1"/>
  <c r="H14" i="7" l="1"/>
  <c r="H10" i="7"/>
  <c r="H18" i="7"/>
  <c r="H2" i="7"/>
  <c r="H11" i="7"/>
  <c r="H3" i="7"/>
  <c r="H9" i="7"/>
  <c r="H12" i="7"/>
  <c r="H17" i="7"/>
  <c r="H20" i="7"/>
  <c r="H15" i="7"/>
  <c r="H5" i="7"/>
  <c r="H19" i="7"/>
  <c r="H6" i="7"/>
  <c r="H4" i="7"/>
  <c r="H7" i="7"/>
  <c r="H8" i="7"/>
  <c r="H13" i="7"/>
  <c r="H16" i="7"/>
  <c r="H21" i="7"/>
  <c r="H6" i="4"/>
  <c r="H10" i="4"/>
  <c r="H14" i="4"/>
  <c r="H18" i="4"/>
  <c r="H2" i="4"/>
  <c r="H7" i="4"/>
  <c r="H11" i="4"/>
  <c r="H3" i="4"/>
  <c r="H15" i="4"/>
  <c r="H4" i="4"/>
  <c r="H8" i="4"/>
  <c r="H12" i="4"/>
  <c r="H16" i="4"/>
  <c r="H20" i="4"/>
  <c r="H9" i="4"/>
  <c r="H13" i="4"/>
  <c r="H17" i="4"/>
  <c r="H21" i="4"/>
  <c r="H5" i="4"/>
  <c r="H19" i="4"/>
  <c r="H28" i="7" l="1"/>
  <c r="H29" i="7" s="1"/>
  <c r="H28" i="4"/>
  <c r="H29" i="4" s="1"/>
</calcChain>
</file>

<file path=xl/sharedStrings.xml><?xml version="1.0" encoding="utf-8"?>
<sst xmlns="http://schemas.openxmlformats.org/spreadsheetml/2006/main" count="164" uniqueCount="68">
  <si>
    <t>Nombre</t>
  </si>
  <si>
    <t>Apellidos</t>
  </si>
  <si>
    <t>Devising a project (#DP)</t>
  </si>
  <si>
    <t>Sprint 1 (#S1)</t>
  </si>
  <si>
    <t>Sprint 2 (#S2)</t>
  </si>
  <si>
    <t>Sprint 3 (#S3)</t>
  </si>
  <si>
    <t>Preparing project launch (#PPL)</t>
  </si>
  <si>
    <t>Santia</t>
  </si>
  <si>
    <t>Bregu</t>
  </si>
  <si>
    <t>Pablo</t>
  </si>
  <si>
    <t>Arrabal Hermoso</t>
  </si>
  <si>
    <t>Manuel</t>
  </si>
  <si>
    <t>Zoilo Buzon Muñoz</t>
  </si>
  <si>
    <t>Chica Lopez</t>
  </si>
  <si>
    <t>Celia del Pilar</t>
  </si>
  <si>
    <t>Dorantes Ruiz</t>
  </si>
  <si>
    <t>Santiago</t>
  </si>
  <si>
    <t>Fernandez Roman</t>
  </si>
  <si>
    <t>Raquel</t>
  </si>
  <si>
    <t xml:space="preserve"> García Hortal</t>
  </si>
  <si>
    <t>Oscar</t>
  </si>
  <si>
    <t xml:space="preserve"> Gomez Gonzalez</t>
  </si>
  <si>
    <t xml:space="preserve"> Manuel</t>
  </si>
  <si>
    <t xml:space="preserve"> Lavado Corredera</t>
  </si>
  <si>
    <t>Guillermo</t>
  </si>
  <si>
    <t>Linares Borrego</t>
  </si>
  <si>
    <t xml:space="preserve"> Ana</t>
  </si>
  <si>
    <t>Martin Carrillo</t>
  </si>
  <si>
    <t xml:space="preserve"> Miguel</t>
  </si>
  <si>
    <t>Arturo Mir Ceballos</t>
  </si>
  <si>
    <t xml:space="preserve"> Roberto</t>
  </si>
  <si>
    <t>Muñoz Perez</t>
  </si>
  <si>
    <t xml:space="preserve"> Orta Perez</t>
  </si>
  <si>
    <t xml:space="preserve"> Javier</t>
  </si>
  <si>
    <t xml:space="preserve"> Pallarés González</t>
  </si>
  <si>
    <t xml:space="preserve"> Dario</t>
  </si>
  <si>
    <t xml:space="preserve"> Rodriguez Sastre</t>
  </si>
  <si>
    <t>Jose Maria</t>
  </si>
  <si>
    <t>Silva Guzman</t>
  </si>
  <si>
    <t>Sergio</t>
  </si>
  <si>
    <t xml:space="preserve"> Terrazas Lobato</t>
  </si>
  <si>
    <t>Zafra Ruiz</t>
  </si>
  <si>
    <t>Jose</t>
  </si>
  <si>
    <t>Egido Carnereo</t>
  </si>
  <si>
    <t>Numero de Miembros</t>
  </si>
  <si>
    <t>TOTAL Asignado</t>
  </si>
  <si>
    <t>Por Asignar</t>
  </si>
  <si>
    <t>IMPORTANTE:</t>
  </si>
  <si>
    <t>La fila de TOTAL Asignado debe tener el valor 100% (resaltado en verde).</t>
  </si>
  <si>
    <t>Solo se permitirá una distribución asimétrica si se justifica en terminos de que una persona ha hecho una dedicacion en horas menora la esperada (10h semanales) y eso a provocado que no ha podido completar tareas que han debido ser reasignadas a otro miembro que, a su vez, ha tenido que hacer un sobreesfuerzo en horas para completarlas.</t>
  </si>
  <si>
    <t>En el caso de que la distribución sea asimetrica, hay que rellenar un comentario explicando la situación en la pestaña "Comentarios sobre XX" del entregable correspondiente.</t>
  </si>
  <si>
    <t>En cada entregable solo se puede actualizar la columna del entregable correspondiente SIN modificar la distribución de entregables anteriores.</t>
  </si>
  <si>
    <t>Manuel Chica Lopez se incorporó mas tarde en el grupo, por esto tiene menos horas en Clockify</t>
  </si>
  <si>
    <t>Comentarios sobre S2</t>
  </si>
  <si>
    <t>Notas métricas individuales</t>
  </si>
  <si>
    <t>Horas Clockify</t>
  </si>
  <si>
    <t>Horas mínimas #S2 (30 horas)</t>
  </si>
  <si>
    <t>Métricas individuales</t>
  </si>
  <si>
    <t>Notas total #S2</t>
  </si>
  <si>
    <t>Media 50% entre métricas y clockify</t>
  </si>
  <si>
    <t>Horas ponderadas</t>
  </si>
  <si>
    <t>Porcentaje Horas #S2</t>
  </si>
  <si>
    <t>(El formato de las horas el excel lo transforma a dias por eso se ve asi)</t>
  </si>
  <si>
    <t xml:space="preserve">Numero de Miembros: </t>
  </si>
  <si>
    <t>Comentarios sobre S3</t>
  </si>
  <si>
    <t>Notas total #S3</t>
  </si>
  <si>
    <t>Horas mínimas #S3 (20 horas)</t>
  </si>
  <si>
    <t>Porcentaje Horas #S3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</si>
</sst>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1"/>
      <name val="Aptos Narrow"/>
      <family val="2"/>
      <scheme val="minor"/>
    </font>
    <font>
      <sz val="12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/>
      <right/>
      <top style="medium">
        <color rgb="FFCCCCCC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9" fontId="2" fillId="0" borderId="1" xfId="1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0" fontId="8" fillId="0" borderId="0" xfId="2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10" fontId="2" fillId="0" borderId="1" xfId="1" applyNumberFormat="1" applyFont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2" fontId="2" fillId="0" borderId="1" xfId="1" applyNumberFormat="1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46" fontId="9" fillId="0" borderId="0" xfId="0" applyNumberFormat="1" applyFont="1" applyAlignment="1">
      <alignment horizontal="center" vertical="center"/>
    </xf>
    <xf numFmtId="21" fontId="2" fillId="0" borderId="0" xfId="0" applyNumberFormat="1" applyFont="1" applyAlignment="1">
      <alignment horizontal="center" vertical="center"/>
    </xf>
    <xf numFmtId="46" fontId="2" fillId="0" borderId="0" xfId="0" applyNumberFormat="1" applyFon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</cellXfs>
  <cellStyles count="3">
    <cellStyle name="Hipervínculo" xfId="2" builtinId="8"/>
    <cellStyle name="Normal" xfId="0" builtinId="0"/>
    <cellStyle name="Porcentaje" xfId="1" builtinId="5"/>
  </cellStyles>
  <dxfs count="40"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  <dxf>
      <fill>
        <patternFill>
          <bgColor rgb="FFFF9393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  <border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</border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bgColor theme="9" tint="0.79998168889431442"/>
        </patternFill>
      </fill>
    </dxf>
  </dxfs>
  <tableStyles count="0" defaultTableStyle="TableStyleMedium2" defaultPivotStyle="PivotStyleLight16"/>
  <colors>
    <mruColors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StreetAsk-ISPP/ISPP-G10/blob/trunk/metrics/performance-metrics.md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StreetAsk-ISPP/ISPP-G10/blob/trunk/metrics/performance-metrics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89C9-C95E-4402-8344-C5801FC30A20}">
  <dimension ref="A1:G38"/>
  <sheetViews>
    <sheetView zoomScale="90" workbookViewId="0">
      <selection activeCell="M8" sqref="M8"/>
    </sheetView>
  </sheetViews>
  <sheetFormatPr baseColWidth="10" defaultColWidth="11.42578125" defaultRowHeight="15" x14ac:dyDescent="0.25"/>
  <cols>
    <col min="1" max="1" width="16.28515625" customWidth="1"/>
    <col min="2" max="2" width="38.28515625" customWidth="1"/>
    <col min="3" max="7" width="10.7109375" style="2" customWidth="1"/>
  </cols>
  <sheetData>
    <row r="1" spans="1:7" s="5" customFormat="1" ht="48.75" thickBo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ht="15" customHeight="1" thickBot="1" x14ac:dyDescent="0.3">
      <c r="A2" s="1" t="s">
        <v>7</v>
      </c>
      <c r="B2" s="1" t="s">
        <v>8</v>
      </c>
      <c r="C2" s="3">
        <v>1.2</v>
      </c>
      <c r="D2" s="3">
        <v>1</v>
      </c>
      <c r="E2" s="3">
        <v>1.0900000000000001</v>
      </c>
      <c r="F2" s="3">
        <v>1.3552190749318194</v>
      </c>
      <c r="G2" s="3"/>
    </row>
    <row r="3" spans="1:7" ht="15" customHeight="1" thickBot="1" x14ac:dyDescent="0.3">
      <c r="A3" s="1" t="s">
        <v>9</v>
      </c>
      <c r="B3" s="1" t="s">
        <v>10</v>
      </c>
      <c r="C3" s="3">
        <v>1</v>
      </c>
      <c r="D3" s="3">
        <v>1</v>
      </c>
      <c r="E3" s="3">
        <v>0.84</v>
      </c>
      <c r="F3" s="3">
        <v>0.94014834299243988</v>
      </c>
      <c r="G3" s="3"/>
    </row>
    <row r="4" spans="1:7" ht="15.75" thickBot="1" x14ac:dyDescent="0.3">
      <c r="A4" s="1" t="s">
        <v>11</v>
      </c>
      <c r="B4" s="1" t="s">
        <v>12</v>
      </c>
      <c r="C4" s="3">
        <v>1</v>
      </c>
      <c r="D4" s="3">
        <v>1</v>
      </c>
      <c r="E4" s="3">
        <v>1.1100000000000001</v>
      </c>
      <c r="F4" s="3">
        <v>1.0839529727959263</v>
      </c>
      <c r="G4" s="3"/>
    </row>
    <row r="5" spans="1:7" ht="15.75" thickBot="1" x14ac:dyDescent="0.3">
      <c r="A5" s="1" t="s">
        <v>11</v>
      </c>
      <c r="B5" s="1" t="s">
        <v>13</v>
      </c>
      <c r="C5" s="3">
        <v>0.8</v>
      </c>
      <c r="D5" s="3">
        <v>0.9</v>
      </c>
      <c r="E5" s="3">
        <v>0.79</v>
      </c>
      <c r="F5" s="3">
        <v>1.0626757142027177</v>
      </c>
      <c r="G5" s="3"/>
    </row>
    <row r="6" spans="1:7" x14ac:dyDescent="0.25">
      <c r="A6" s="1" t="s">
        <v>14</v>
      </c>
      <c r="B6" s="1" t="s">
        <v>15</v>
      </c>
      <c r="C6" s="3">
        <v>1</v>
      </c>
      <c r="D6" s="3">
        <v>1</v>
      </c>
      <c r="E6" s="3">
        <v>1.1000000000000001</v>
      </c>
      <c r="F6" s="3">
        <v>1.0308313960390789</v>
      </c>
      <c r="G6" s="3"/>
    </row>
    <row r="7" spans="1:7" ht="15.75" thickBot="1" x14ac:dyDescent="0.3">
      <c r="A7" s="1" t="s">
        <v>16</v>
      </c>
      <c r="B7" s="1" t="s">
        <v>17</v>
      </c>
      <c r="C7" s="3">
        <v>1</v>
      </c>
      <c r="D7" s="3">
        <v>1</v>
      </c>
      <c r="E7" s="3">
        <v>0.89</v>
      </c>
      <c r="F7" s="3">
        <v>1.033239506825647</v>
      </c>
      <c r="G7" s="3"/>
    </row>
    <row r="8" spans="1:7" ht="15.75" thickBot="1" x14ac:dyDescent="0.3">
      <c r="A8" s="1" t="s">
        <v>18</v>
      </c>
      <c r="B8" s="1" t="s">
        <v>19</v>
      </c>
      <c r="C8" s="3">
        <v>1</v>
      </c>
      <c r="D8" s="3">
        <v>1</v>
      </c>
      <c r="E8" s="3">
        <v>1.0900000000000001</v>
      </c>
      <c r="F8" s="3">
        <v>1.0715251003449662</v>
      </c>
      <c r="G8" s="3"/>
    </row>
    <row r="9" spans="1:7" ht="15.75" thickBot="1" x14ac:dyDescent="0.3">
      <c r="A9" s="1" t="s">
        <v>20</v>
      </c>
      <c r="B9" s="1" t="s">
        <v>21</v>
      </c>
      <c r="C9" s="3">
        <v>1</v>
      </c>
      <c r="D9" s="3">
        <v>1</v>
      </c>
      <c r="E9" s="3">
        <v>0.84</v>
      </c>
      <c r="F9" s="3">
        <v>0.92004987988915965</v>
      </c>
      <c r="G9" s="3"/>
    </row>
    <row r="10" spans="1:7" ht="15.75" thickBot="1" x14ac:dyDescent="0.3">
      <c r="A10" s="1" t="s">
        <v>22</v>
      </c>
      <c r="B10" s="1" t="s">
        <v>23</v>
      </c>
      <c r="C10" s="3">
        <v>1</v>
      </c>
      <c r="D10" s="3">
        <v>1</v>
      </c>
      <c r="E10" s="3">
        <v>1.18</v>
      </c>
      <c r="F10" s="3">
        <v>0.89672656912414661</v>
      </c>
      <c r="G10" s="3"/>
    </row>
    <row r="11" spans="1:7" ht="15.75" thickBot="1" x14ac:dyDescent="0.3">
      <c r="A11" s="1" t="s">
        <v>24</v>
      </c>
      <c r="B11" s="1" t="s">
        <v>25</v>
      </c>
      <c r="C11" s="3">
        <v>1</v>
      </c>
      <c r="D11" s="3">
        <v>1</v>
      </c>
      <c r="E11" s="3">
        <v>1.22</v>
      </c>
      <c r="F11" s="3">
        <v>1.0619936968121162</v>
      </c>
      <c r="G11" s="3"/>
    </row>
    <row r="12" spans="1:7" ht="15.75" thickBot="1" x14ac:dyDescent="0.3">
      <c r="A12" s="1" t="s">
        <v>26</v>
      </c>
      <c r="B12" s="1" t="s">
        <v>27</v>
      </c>
      <c r="C12" s="3">
        <v>1</v>
      </c>
      <c r="D12" s="3">
        <v>1</v>
      </c>
      <c r="E12" s="3">
        <v>1</v>
      </c>
      <c r="F12" s="3">
        <v>0.8541804719055146</v>
      </c>
      <c r="G12" s="3"/>
    </row>
    <row r="13" spans="1:7" ht="15.75" thickBot="1" x14ac:dyDescent="0.3">
      <c r="A13" s="1" t="s">
        <v>28</v>
      </c>
      <c r="B13" s="1" t="s">
        <v>29</v>
      </c>
      <c r="C13" s="3">
        <v>1</v>
      </c>
      <c r="D13" s="3">
        <v>0.95</v>
      </c>
      <c r="E13" s="3">
        <v>0.6</v>
      </c>
      <c r="F13" s="3">
        <v>0.9396684048286833</v>
      </c>
      <c r="G13" s="3"/>
    </row>
    <row r="14" spans="1:7" ht="15.75" thickBot="1" x14ac:dyDescent="0.3">
      <c r="A14" s="1" t="s">
        <v>30</v>
      </c>
      <c r="B14" s="1" t="s">
        <v>31</v>
      </c>
      <c r="C14" s="3">
        <v>1</v>
      </c>
      <c r="D14" s="3">
        <v>1</v>
      </c>
      <c r="E14" s="3">
        <v>0.81</v>
      </c>
      <c r="F14" s="3">
        <v>1.0466019957007646</v>
      </c>
      <c r="G14" s="3"/>
    </row>
    <row r="15" spans="1:7" ht="15.75" thickBot="1" x14ac:dyDescent="0.3">
      <c r="A15" s="1" t="s">
        <v>11</v>
      </c>
      <c r="B15" s="1" t="s">
        <v>32</v>
      </c>
      <c r="C15" s="3">
        <v>1</v>
      </c>
      <c r="D15" s="3">
        <v>1</v>
      </c>
      <c r="E15" s="3">
        <v>0.95</v>
      </c>
      <c r="F15" s="3">
        <v>1.064258668146336</v>
      </c>
      <c r="G15" s="3"/>
    </row>
    <row r="16" spans="1:7" ht="15.75" thickBot="1" x14ac:dyDescent="0.3">
      <c r="A16" s="1" t="s">
        <v>33</v>
      </c>
      <c r="B16" s="1" t="s">
        <v>34</v>
      </c>
      <c r="C16" s="3">
        <v>1</v>
      </c>
      <c r="D16" s="3">
        <v>1</v>
      </c>
      <c r="E16" s="3">
        <v>1.1599999999999999</v>
      </c>
      <c r="F16" s="3">
        <v>0.84817703487466467</v>
      </c>
      <c r="G16" s="3"/>
    </row>
    <row r="17" spans="1:7" ht="15.75" thickBot="1" x14ac:dyDescent="0.3">
      <c r="A17" s="1" t="s">
        <v>35</v>
      </c>
      <c r="B17" s="1" t="s">
        <v>36</v>
      </c>
      <c r="C17" s="3">
        <v>1</v>
      </c>
      <c r="D17" s="3">
        <v>1</v>
      </c>
      <c r="E17" s="3">
        <v>0.94</v>
      </c>
      <c r="F17" s="3">
        <v>0.89151460906510593</v>
      </c>
      <c r="G17" s="3"/>
    </row>
    <row r="18" spans="1:7" ht="15.75" thickBot="1" x14ac:dyDescent="0.3">
      <c r="A18" s="1" t="s">
        <v>37</v>
      </c>
      <c r="B18" s="1" t="s">
        <v>38</v>
      </c>
      <c r="C18" s="3">
        <v>1</v>
      </c>
      <c r="D18" s="3">
        <v>1</v>
      </c>
      <c r="E18" s="3">
        <v>1.03</v>
      </c>
      <c r="F18" s="3">
        <v>1.0599897444792379</v>
      </c>
      <c r="G18" s="3"/>
    </row>
    <row r="19" spans="1:7" ht="15.75" thickBot="1" x14ac:dyDescent="0.3">
      <c r="A19" s="1" t="s">
        <v>39</v>
      </c>
      <c r="B19" s="1" t="s">
        <v>40</v>
      </c>
      <c r="C19" s="3">
        <v>1</v>
      </c>
      <c r="D19" s="3">
        <v>1</v>
      </c>
      <c r="E19" s="3">
        <v>1.1499999999999999</v>
      </c>
      <c r="F19" s="3">
        <v>0.9447203854998053</v>
      </c>
      <c r="G19" s="3"/>
    </row>
    <row r="20" spans="1:7" ht="15.75" thickBot="1" x14ac:dyDescent="0.3">
      <c r="A20" s="1" t="s">
        <v>35</v>
      </c>
      <c r="B20" s="1" t="s">
        <v>41</v>
      </c>
      <c r="C20" s="3">
        <v>1</v>
      </c>
      <c r="D20" s="3">
        <v>1</v>
      </c>
      <c r="E20" s="3">
        <v>1.0900000000000001</v>
      </c>
      <c r="F20" s="3">
        <v>0.98032842926342967</v>
      </c>
      <c r="G20" s="3"/>
    </row>
    <row r="21" spans="1:7" ht="15.75" thickBot="1" x14ac:dyDescent="0.3">
      <c r="A21" s="1" t="s">
        <v>42</v>
      </c>
      <c r="B21" s="1" t="s">
        <v>43</v>
      </c>
      <c r="C21" s="3">
        <v>1</v>
      </c>
      <c r="D21" s="3">
        <v>1</v>
      </c>
      <c r="E21" s="3">
        <v>1.1200000000000001</v>
      </c>
      <c r="F21" s="3">
        <v>0.91419800227844339</v>
      </c>
      <c r="G21" s="3"/>
    </row>
    <row r="22" spans="1:7" ht="15.75" thickBot="1" x14ac:dyDescent="0.3">
      <c r="A22" s="1"/>
      <c r="B22" s="1"/>
      <c r="C22" s="3"/>
      <c r="D22" s="3"/>
      <c r="E22" s="3"/>
      <c r="F22" s="3"/>
      <c r="G22" s="3"/>
    </row>
    <row r="23" spans="1:7" ht="15.75" thickBot="1" x14ac:dyDescent="0.3">
      <c r="A23" s="1"/>
      <c r="B23" s="1"/>
      <c r="C23" s="3"/>
      <c r="D23" s="3"/>
      <c r="E23" s="3"/>
      <c r="F23" s="3"/>
      <c r="G23" s="3"/>
    </row>
    <row r="24" spans="1:7" ht="15.75" thickBot="1" x14ac:dyDescent="0.3">
      <c r="A24" s="1"/>
      <c r="B24" s="1"/>
      <c r="C24" s="3"/>
      <c r="D24" s="3"/>
      <c r="E24" s="3"/>
      <c r="F24" s="3"/>
      <c r="G24" s="3"/>
    </row>
    <row r="25" spans="1:7" ht="15.75" thickBot="1" x14ac:dyDescent="0.3">
      <c r="A25" s="1"/>
      <c r="B25" s="1"/>
      <c r="C25" s="3"/>
      <c r="D25" s="3"/>
      <c r="E25" s="3"/>
      <c r="F25" s="3"/>
      <c r="G25" s="3"/>
    </row>
    <row r="27" spans="1:7" ht="30" x14ac:dyDescent="0.25">
      <c r="A27" s="8" t="s">
        <v>44</v>
      </c>
      <c r="B27" s="2">
        <v>20</v>
      </c>
    </row>
    <row r="28" spans="1:7" x14ac:dyDescent="0.25">
      <c r="A28" t="s">
        <v>45</v>
      </c>
      <c r="C28" s="6">
        <f>SUM(C2:C25)/$B$27</f>
        <v>1</v>
      </c>
      <c r="D28" s="6">
        <f>SUM(D2:D25)/$B$27</f>
        <v>0.99250000000000005</v>
      </c>
      <c r="E28" s="6">
        <f>SUM(E2:E25)/$B$27</f>
        <v>1</v>
      </c>
      <c r="F28" s="6">
        <f>SUM(F2:F25)/$B$27</f>
        <v>1.0000000000000004</v>
      </c>
      <c r="G28" s="6">
        <f>SUM(G2:G25)/$B$27</f>
        <v>0</v>
      </c>
    </row>
    <row r="29" spans="1:7" x14ac:dyDescent="0.25">
      <c r="A29" t="s">
        <v>46</v>
      </c>
      <c r="C29" s="7">
        <f>1-C28</f>
        <v>0</v>
      </c>
      <c r="D29" s="7">
        <f t="shared" ref="D29:G29" si="0">1-D28</f>
        <v>7.4999999999999512E-3</v>
      </c>
      <c r="E29" s="7">
        <f t="shared" si="0"/>
        <v>0</v>
      </c>
      <c r="F29" s="7">
        <f t="shared" si="0"/>
        <v>0</v>
      </c>
      <c r="G29" s="7">
        <f t="shared" si="0"/>
        <v>1</v>
      </c>
    </row>
    <row r="32" spans="1:7" x14ac:dyDescent="0.25">
      <c r="A32" s="10" t="s">
        <v>47</v>
      </c>
      <c r="B32" t="s">
        <v>48</v>
      </c>
    </row>
    <row r="33" spans="2:7" x14ac:dyDescent="0.25">
      <c r="B33" s="26" t="s">
        <v>49</v>
      </c>
      <c r="C33" s="26"/>
      <c r="D33" s="26"/>
      <c r="E33" s="26"/>
      <c r="F33" s="26"/>
      <c r="G33" s="26"/>
    </row>
    <row r="34" spans="2:7" ht="79.5" customHeight="1" x14ac:dyDescent="0.25">
      <c r="B34" s="26" t="s">
        <v>50</v>
      </c>
      <c r="C34" s="26"/>
      <c r="D34" s="26"/>
      <c r="E34" s="26"/>
      <c r="F34" s="26"/>
      <c r="G34" s="26"/>
    </row>
    <row r="35" spans="2:7" ht="47.25" customHeight="1" x14ac:dyDescent="0.25">
      <c r="B35" s="26" t="s">
        <v>51</v>
      </c>
      <c r="C35" s="26"/>
      <c r="D35" s="26"/>
      <c r="E35" s="26"/>
      <c r="F35" s="26"/>
      <c r="G35" s="26"/>
    </row>
    <row r="36" spans="2:7" ht="44.25" customHeight="1" x14ac:dyDescent="0.25"/>
    <row r="38" spans="2:7" ht="15.75" x14ac:dyDescent="0.25">
      <c r="D38" s="9"/>
    </row>
  </sheetData>
  <mergeCells count="3">
    <mergeCell ref="B33:G33"/>
    <mergeCell ref="B34:G34"/>
    <mergeCell ref="B35:G35"/>
  </mergeCells>
  <conditionalFormatting sqref="C28:G28">
    <cfRule type="cellIs" dxfId="39" priority="5" operator="equal">
      <formula>1</formula>
    </cfRule>
    <cfRule type="cellIs" dxfId="38" priority="6" operator="equal">
      <formula>0</formula>
    </cfRule>
    <cfRule type="cellIs" dxfId="37" priority="7" operator="lessThan">
      <formula>1</formula>
    </cfRule>
    <cfRule type="cellIs" dxfId="36" priority="8" operator="greaterThan">
      <formula>1</formula>
    </cfRule>
  </conditionalFormatting>
  <conditionalFormatting sqref="C29:G29">
    <cfRule type="cellIs" dxfId="35" priority="1" operator="equal">
      <formula>""</formula>
    </cfRule>
    <cfRule type="cellIs" dxfId="34" priority="2" operator="equal">
      <formula>0</formula>
    </cfRule>
    <cfRule type="cellIs" dxfId="33" priority="3" operator="greaterThan">
      <formula>0</formula>
    </cfRule>
    <cfRule type="cellIs" dxfId="32" priority="4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F382-02E1-40C2-A4CE-CF742186EEF1}">
  <dimension ref="A1:E3"/>
  <sheetViews>
    <sheetView workbookViewId="0">
      <selection activeCell="E3" sqref="E3"/>
    </sheetView>
  </sheetViews>
  <sheetFormatPr baseColWidth="10" defaultColWidth="11.42578125" defaultRowHeight="15" x14ac:dyDescent="0.25"/>
  <sheetData>
    <row r="1" spans="1:5" ht="101.65" customHeight="1" x14ac:dyDescent="0.25">
      <c r="A1" s="27" t="s">
        <v>52</v>
      </c>
      <c r="B1" s="28"/>
      <c r="C1" s="28"/>
    </row>
    <row r="3" spans="1:5" x14ac:dyDescent="0.25">
      <c r="E3" s="11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7D492-76AC-48CC-8E70-4FD580B74AA0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8AA91-50C5-45F4-80B4-D403EC3F6E09}">
  <dimension ref="A1:L32"/>
  <sheetViews>
    <sheetView zoomScale="90" zoomScaleNormal="90" workbookViewId="0">
      <selection activeCell="E35" sqref="E35"/>
    </sheetView>
  </sheetViews>
  <sheetFormatPr baseColWidth="10" defaultColWidth="11.42578125" defaultRowHeight="15" x14ac:dyDescent="0.25"/>
  <cols>
    <col min="1" max="1" width="22.42578125" customWidth="1"/>
    <col min="2" max="2" width="20.5703125" customWidth="1"/>
    <col min="3" max="3" width="22.5703125" customWidth="1"/>
    <col min="4" max="4" width="27" customWidth="1"/>
    <col min="5" max="5" width="25.85546875" customWidth="1"/>
    <col min="6" max="6" width="31" customWidth="1"/>
    <col min="7" max="7" width="30.7109375" customWidth="1"/>
    <col min="8" max="8" width="15.140625" customWidth="1"/>
  </cols>
  <sheetData>
    <row r="1" spans="1:12" ht="15.75" thickBot="1" x14ac:dyDescent="0.3">
      <c r="A1" s="12" t="s">
        <v>53</v>
      </c>
      <c r="B1" s="4" t="s">
        <v>0</v>
      </c>
      <c r="C1" s="4" t="s">
        <v>1</v>
      </c>
      <c r="D1" s="4" t="s">
        <v>55</v>
      </c>
      <c r="E1" s="4" t="s">
        <v>60</v>
      </c>
      <c r="F1" s="4" t="s">
        <v>54</v>
      </c>
      <c r="G1" s="4" t="s">
        <v>58</v>
      </c>
      <c r="H1" s="4" t="s">
        <v>4</v>
      </c>
    </row>
    <row r="2" spans="1:12" ht="15" customHeight="1" thickBot="1" x14ac:dyDescent="0.3">
      <c r="B2" s="13" t="s">
        <v>7</v>
      </c>
      <c r="C2" s="13" t="s">
        <v>8</v>
      </c>
      <c r="D2" s="16">
        <v>1.2998726851851852</v>
      </c>
      <c r="E2" s="17">
        <f>(D2*24) / 30</f>
        <v>1.0398981481481482</v>
      </c>
      <c r="F2" s="20">
        <v>7.5</v>
      </c>
      <c r="G2" s="20">
        <f>((E2*10)+F2)/2</f>
        <v>8.9494907407407407</v>
      </c>
      <c r="H2" s="3">
        <f>G2 / AVERAGE($G$2:$G$21)</f>
        <v>1.0878984390256532</v>
      </c>
    </row>
    <row r="3" spans="1:12" ht="15" customHeight="1" thickBot="1" x14ac:dyDescent="0.3">
      <c r="B3" s="13" t="s">
        <v>9</v>
      </c>
      <c r="C3" s="13" t="s">
        <v>10</v>
      </c>
      <c r="D3" s="16">
        <v>0.98466435185185186</v>
      </c>
      <c r="E3" s="17">
        <f>(D3*24) / 30</f>
        <v>0.78773148148148142</v>
      </c>
      <c r="F3" s="20">
        <v>6</v>
      </c>
      <c r="G3" s="20">
        <f t="shared" ref="G3:G21" si="0">((E3*10)+F3)/2</f>
        <v>6.9386574074074066</v>
      </c>
      <c r="H3" s="3">
        <f t="shared" ref="H3:H21" si="1">G3 / AVERAGE($G$2:$G$21)</f>
        <v>0.84346191097656997</v>
      </c>
    </row>
    <row r="4" spans="1:12" ht="15" customHeight="1" thickBot="1" x14ac:dyDescent="0.3">
      <c r="B4" s="13" t="s">
        <v>11</v>
      </c>
      <c r="C4" s="13" t="s">
        <v>12</v>
      </c>
      <c r="D4" s="16">
        <v>1.351238425925926</v>
      </c>
      <c r="E4" s="17">
        <f t="shared" ref="E4:E21" si="2">(D4*24) / 30</f>
        <v>1.0809907407407409</v>
      </c>
      <c r="F4" s="20">
        <v>7.5</v>
      </c>
      <c r="G4" s="20">
        <f t="shared" si="0"/>
        <v>9.1549537037037041</v>
      </c>
      <c r="H4" s="3">
        <f t="shared" si="1"/>
        <v>1.1128744787982239</v>
      </c>
    </row>
    <row r="5" spans="1:12" ht="15.75" thickBot="1" x14ac:dyDescent="0.3">
      <c r="B5" s="13" t="s">
        <v>11</v>
      </c>
      <c r="C5" s="13" t="s">
        <v>13</v>
      </c>
      <c r="D5" s="16">
        <v>0.6287962962962963</v>
      </c>
      <c r="E5" s="17">
        <f t="shared" si="2"/>
        <v>0.50303703703703706</v>
      </c>
      <c r="F5" s="20">
        <v>8</v>
      </c>
      <c r="G5" s="20">
        <f t="shared" si="0"/>
        <v>6.5151851851851852</v>
      </c>
      <c r="H5" s="3">
        <f t="shared" si="1"/>
        <v>0.79198470597438364</v>
      </c>
    </row>
    <row r="6" spans="1:12" ht="15" customHeight="1" thickBot="1" x14ac:dyDescent="0.3">
      <c r="B6" s="13" t="s">
        <v>14</v>
      </c>
      <c r="C6" s="13" t="s">
        <v>15</v>
      </c>
      <c r="D6" s="16">
        <v>1.255798611111111</v>
      </c>
      <c r="E6" s="17">
        <f t="shared" si="2"/>
        <v>1.0046388888888889</v>
      </c>
      <c r="F6" s="20">
        <v>8</v>
      </c>
      <c r="G6" s="20">
        <f t="shared" si="0"/>
        <v>9.0231944444444441</v>
      </c>
      <c r="H6" s="3">
        <f t="shared" si="1"/>
        <v>1.096857847614642</v>
      </c>
    </row>
    <row r="7" spans="1:12" ht="15" customHeight="1" thickBot="1" x14ac:dyDescent="0.3">
      <c r="B7" s="13" t="s">
        <v>16</v>
      </c>
      <c r="C7" s="13" t="s">
        <v>17</v>
      </c>
      <c r="D7" s="16">
        <v>1.0743171296296297</v>
      </c>
      <c r="E7" s="17">
        <f t="shared" si="2"/>
        <v>0.85945370370370378</v>
      </c>
      <c r="F7" s="20">
        <v>6</v>
      </c>
      <c r="G7" s="20">
        <f t="shared" si="0"/>
        <v>7.2972685185185187</v>
      </c>
      <c r="H7" s="3">
        <f t="shared" si="1"/>
        <v>0.88705461130967767</v>
      </c>
      <c r="L7" s="18"/>
    </row>
    <row r="8" spans="1:12" ht="15" customHeight="1" thickBot="1" x14ac:dyDescent="0.3">
      <c r="B8" s="13" t="s">
        <v>18</v>
      </c>
      <c r="C8" s="13" t="s">
        <v>19</v>
      </c>
      <c r="D8" s="16">
        <v>1.24125</v>
      </c>
      <c r="E8" s="17">
        <f t="shared" si="2"/>
        <v>0.99299999999999999</v>
      </c>
      <c r="F8" s="20">
        <v>8</v>
      </c>
      <c r="G8" s="20">
        <f t="shared" si="0"/>
        <v>8.9649999999999999</v>
      </c>
      <c r="H8" s="3">
        <f t="shared" si="1"/>
        <v>1.0897837417124066</v>
      </c>
    </row>
    <row r="9" spans="1:12" ht="15" customHeight="1" thickBot="1" x14ac:dyDescent="0.3">
      <c r="B9" s="13" t="s">
        <v>20</v>
      </c>
      <c r="C9" s="13" t="s">
        <v>21</v>
      </c>
      <c r="D9" s="16">
        <v>0.97932870370370373</v>
      </c>
      <c r="E9" s="17">
        <f t="shared" si="2"/>
        <v>0.78346296296296292</v>
      </c>
      <c r="F9" s="20">
        <v>6</v>
      </c>
      <c r="G9" s="20">
        <f t="shared" si="0"/>
        <v>6.917314814814814</v>
      </c>
      <c r="H9" s="3">
        <f t="shared" si="1"/>
        <v>0.84086750936882881</v>
      </c>
    </row>
    <row r="10" spans="1:12" ht="15.75" thickBot="1" x14ac:dyDescent="0.3">
      <c r="B10" s="13" t="s">
        <v>22</v>
      </c>
      <c r="C10" s="13" t="s">
        <v>23</v>
      </c>
      <c r="D10" s="16">
        <v>1.1736111111111112</v>
      </c>
      <c r="E10" s="17">
        <f t="shared" si="2"/>
        <v>0.93888888888888888</v>
      </c>
      <c r="F10" s="20">
        <v>10</v>
      </c>
      <c r="G10" s="20">
        <f t="shared" si="0"/>
        <v>9.6944444444444446</v>
      </c>
      <c r="H10" s="3">
        <f t="shared" si="1"/>
        <v>1.1784548734511677</v>
      </c>
    </row>
    <row r="11" spans="1:12" ht="15.75" thickBot="1" x14ac:dyDescent="0.3">
      <c r="B11" s="13" t="s">
        <v>24</v>
      </c>
      <c r="C11" s="13" t="s">
        <v>25</v>
      </c>
      <c r="D11" s="16">
        <v>1.2672569444444444</v>
      </c>
      <c r="E11" s="17">
        <f t="shared" si="2"/>
        <v>1.0138055555555556</v>
      </c>
      <c r="F11" s="20">
        <v>10</v>
      </c>
      <c r="G11" s="20">
        <f t="shared" si="0"/>
        <v>10.069027777777778</v>
      </c>
      <c r="H11" s="3">
        <f t="shared" si="1"/>
        <v>1.2239891541631707</v>
      </c>
    </row>
    <row r="12" spans="1:12" ht="15.75" thickBot="1" x14ac:dyDescent="0.3">
      <c r="B12" s="13" t="s">
        <v>26</v>
      </c>
      <c r="C12" s="13" t="s">
        <v>27</v>
      </c>
      <c r="D12" s="16">
        <v>1.3055555555555556</v>
      </c>
      <c r="E12" s="17">
        <f t="shared" si="2"/>
        <v>1.0444444444444445</v>
      </c>
      <c r="F12" s="20">
        <v>6</v>
      </c>
      <c r="G12" s="20">
        <f t="shared" si="0"/>
        <v>8.2222222222222214</v>
      </c>
      <c r="H12" s="3">
        <f t="shared" si="1"/>
        <v>0.99949181243995877</v>
      </c>
    </row>
    <row r="13" spans="1:12" ht="15.75" thickBot="1" x14ac:dyDescent="0.3">
      <c r="B13" s="13" t="s">
        <v>28</v>
      </c>
      <c r="C13" s="13" t="s">
        <v>29</v>
      </c>
      <c r="D13" s="16">
        <v>0.6166666666666667</v>
      </c>
      <c r="E13" s="17">
        <f t="shared" si="2"/>
        <v>0.49333333333333335</v>
      </c>
      <c r="F13" s="20">
        <v>5</v>
      </c>
      <c r="G13" s="20">
        <f t="shared" si="0"/>
        <v>4.9666666666666668</v>
      </c>
      <c r="H13" s="3">
        <f t="shared" si="1"/>
        <v>0.60374708129819143</v>
      </c>
    </row>
    <row r="14" spans="1:12" ht="15.75" thickBot="1" x14ac:dyDescent="0.3">
      <c r="B14" s="13" t="s">
        <v>30</v>
      </c>
      <c r="C14" s="13" t="s">
        <v>31</v>
      </c>
      <c r="D14" s="16">
        <v>0.92246527777777776</v>
      </c>
      <c r="E14" s="17">
        <f t="shared" si="2"/>
        <v>0.73797222222222225</v>
      </c>
      <c r="F14" s="20">
        <v>6</v>
      </c>
      <c r="G14" s="20">
        <f t="shared" si="0"/>
        <v>6.689861111111111</v>
      </c>
      <c r="H14" s="3">
        <f t="shared" si="1"/>
        <v>0.81321827921951861</v>
      </c>
      <c r="L14" s="19"/>
    </row>
    <row r="15" spans="1:12" ht="15.75" thickBot="1" x14ac:dyDescent="0.3">
      <c r="B15" s="13" t="s">
        <v>11</v>
      </c>
      <c r="C15" s="13" t="s">
        <v>32</v>
      </c>
      <c r="D15" s="16">
        <v>1.206400462962963</v>
      </c>
      <c r="E15" s="17">
        <f t="shared" si="2"/>
        <v>0.96512037037037035</v>
      </c>
      <c r="F15" s="20">
        <v>6</v>
      </c>
      <c r="G15" s="20">
        <f t="shared" si="0"/>
        <v>7.825601851851852</v>
      </c>
      <c r="H15" s="3">
        <f t="shared" si="1"/>
        <v>0.95127871358200211</v>
      </c>
    </row>
    <row r="16" spans="1:12" ht="15.75" thickBot="1" x14ac:dyDescent="0.3">
      <c r="B16" s="13" t="s">
        <v>33</v>
      </c>
      <c r="C16" s="13" t="s">
        <v>34</v>
      </c>
      <c r="D16" s="16">
        <v>1.2037152777777778</v>
      </c>
      <c r="E16" s="17">
        <f t="shared" si="2"/>
        <v>0.96297222222222223</v>
      </c>
      <c r="F16" s="20">
        <v>9.5</v>
      </c>
      <c r="G16" s="20">
        <f t="shared" si="0"/>
        <v>9.5648611111111101</v>
      </c>
      <c r="H16" s="3">
        <f t="shared" si="1"/>
        <v>1.1627027474206528</v>
      </c>
    </row>
    <row r="17" spans="1:8" ht="15.75" thickBot="1" x14ac:dyDescent="0.3">
      <c r="B17" s="13" t="s">
        <v>35</v>
      </c>
      <c r="C17" s="13" t="s">
        <v>36</v>
      </c>
      <c r="D17" s="16">
        <v>1.1569097222222222</v>
      </c>
      <c r="E17" s="17">
        <f t="shared" si="2"/>
        <v>0.92552777777777773</v>
      </c>
      <c r="F17" s="20">
        <v>6</v>
      </c>
      <c r="G17" s="20">
        <f t="shared" si="0"/>
        <v>7.6276388888888889</v>
      </c>
      <c r="H17" s="3">
        <f t="shared" si="1"/>
        <v>0.92721437242213012</v>
      </c>
    </row>
    <row r="18" spans="1:8" ht="15.75" thickBot="1" x14ac:dyDescent="0.3">
      <c r="B18" s="13" t="s">
        <v>37</v>
      </c>
      <c r="C18" s="13" t="s">
        <v>38</v>
      </c>
      <c r="D18" s="16">
        <v>1.2522800925925925</v>
      </c>
      <c r="E18" s="17">
        <f t="shared" si="2"/>
        <v>1.001824074074074</v>
      </c>
      <c r="F18" s="20">
        <v>7</v>
      </c>
      <c r="G18" s="20">
        <f t="shared" si="0"/>
        <v>8.5091203703703702</v>
      </c>
      <c r="H18" s="3">
        <f t="shared" si="1"/>
        <v>1.0343670982602877</v>
      </c>
    </row>
    <row r="19" spans="1:8" ht="15.75" thickBot="1" x14ac:dyDescent="0.3">
      <c r="B19" s="13" t="s">
        <v>39</v>
      </c>
      <c r="C19" s="13" t="s">
        <v>40</v>
      </c>
      <c r="D19" s="16">
        <v>1.3</v>
      </c>
      <c r="E19" s="17">
        <f t="shared" si="2"/>
        <v>1.04</v>
      </c>
      <c r="F19" s="20">
        <v>8.5</v>
      </c>
      <c r="G19" s="20">
        <f t="shared" si="0"/>
        <v>9.4499999999999993</v>
      </c>
      <c r="H19" s="3">
        <f t="shared" si="1"/>
        <v>1.1487402520002499</v>
      </c>
    </row>
    <row r="20" spans="1:8" ht="15.75" thickBot="1" x14ac:dyDescent="0.3">
      <c r="B20" s="13" t="s">
        <v>35</v>
      </c>
      <c r="C20" s="13" t="s">
        <v>41</v>
      </c>
      <c r="D20" s="16">
        <v>1.2286342592592592</v>
      </c>
      <c r="E20" s="17">
        <f t="shared" si="2"/>
        <v>0.98290740740740745</v>
      </c>
      <c r="F20" s="20">
        <v>8</v>
      </c>
      <c r="G20" s="20">
        <f t="shared" si="0"/>
        <v>8.9145370370370376</v>
      </c>
      <c r="H20" s="3">
        <f t="shared" si="1"/>
        <v>1.0836494732689406</v>
      </c>
    </row>
    <row r="21" spans="1:8" ht="15.75" thickBot="1" x14ac:dyDescent="0.3">
      <c r="B21" s="13" t="s">
        <v>42</v>
      </c>
      <c r="C21" s="13" t="s">
        <v>43</v>
      </c>
      <c r="D21" s="16">
        <v>1.3082523148148149</v>
      </c>
      <c r="E21" s="17">
        <f t="shared" si="2"/>
        <v>1.0466018518518518</v>
      </c>
      <c r="F21" s="20">
        <v>8</v>
      </c>
      <c r="G21" s="20">
        <f t="shared" si="0"/>
        <v>9.2330092592592585</v>
      </c>
      <c r="H21" s="3">
        <f t="shared" si="1"/>
        <v>1.1223628976933464</v>
      </c>
    </row>
    <row r="22" spans="1:8" ht="15.75" thickBot="1" x14ac:dyDescent="0.3">
      <c r="B22" s="13"/>
      <c r="C22" s="13"/>
      <c r="D22" s="14"/>
      <c r="E22" s="14"/>
      <c r="F22" s="14"/>
      <c r="G22" s="14"/>
      <c r="H22" s="3"/>
    </row>
    <row r="23" spans="1:8" ht="15.75" thickBot="1" x14ac:dyDescent="0.3">
      <c r="B23" s="13"/>
      <c r="C23" s="13"/>
      <c r="D23" s="14"/>
      <c r="E23" s="14"/>
      <c r="F23" s="14"/>
      <c r="G23" s="14"/>
      <c r="H23" s="3"/>
    </row>
    <row r="24" spans="1:8" ht="15.75" thickBot="1" x14ac:dyDescent="0.3">
      <c r="B24" s="13"/>
      <c r="C24" s="13"/>
      <c r="D24" s="14"/>
      <c r="E24" s="14"/>
      <c r="F24" s="14"/>
      <c r="G24" s="14"/>
      <c r="H24" s="3"/>
    </row>
    <row r="25" spans="1:8" ht="15.75" thickBot="1" x14ac:dyDescent="0.3">
      <c r="B25" s="13"/>
      <c r="C25" s="13"/>
      <c r="D25" s="14"/>
      <c r="E25" s="14"/>
      <c r="F25" s="14"/>
      <c r="G25" s="14"/>
      <c r="H25" s="3"/>
    </row>
    <row r="26" spans="1:8" ht="15.75" thickBot="1" x14ac:dyDescent="0.3">
      <c r="C26" s="21"/>
      <c r="D26" s="2" t="s">
        <v>56</v>
      </c>
      <c r="E26" s="2" t="s">
        <v>61</v>
      </c>
      <c r="F26" s="15" t="s">
        <v>57</v>
      </c>
      <c r="G26" s="2" t="s">
        <v>59</v>
      </c>
      <c r="H26" s="2"/>
    </row>
    <row r="27" spans="1:8" x14ac:dyDescent="0.25">
      <c r="A27" t="s">
        <v>63</v>
      </c>
      <c r="B27" s="21">
        <v>20</v>
      </c>
      <c r="C27" s="12"/>
      <c r="D27" s="2"/>
      <c r="H27" s="2"/>
    </row>
    <row r="28" spans="1:8" x14ac:dyDescent="0.25">
      <c r="C28" s="25" t="s">
        <v>62</v>
      </c>
      <c r="D28" s="25"/>
      <c r="E28" s="25"/>
      <c r="H28" s="6">
        <f>SUM(H2:H21)/20</f>
        <v>1.0000000000000002</v>
      </c>
    </row>
    <row r="29" spans="1:8" x14ac:dyDescent="0.25">
      <c r="D29" s="7"/>
      <c r="H29" s="7">
        <f t="shared" ref="H29" si="3">1-H28</f>
        <v>0</v>
      </c>
    </row>
    <row r="32" spans="1:8" x14ac:dyDescent="0.25">
      <c r="D32" s="11"/>
    </row>
  </sheetData>
  <mergeCells count="1">
    <mergeCell ref="C28:E28"/>
  </mergeCells>
  <conditionalFormatting sqref="C28">
    <cfRule type="cellIs" dxfId="31" priority="13" operator="equal">
      <formula>1</formula>
    </cfRule>
    <cfRule type="cellIs" dxfId="30" priority="14" operator="equal">
      <formula>0</formula>
    </cfRule>
    <cfRule type="cellIs" dxfId="29" priority="15" operator="lessThan">
      <formula>1</formula>
    </cfRule>
    <cfRule type="cellIs" dxfId="28" priority="16" operator="greaterThan">
      <formula>1</formula>
    </cfRule>
  </conditionalFormatting>
  <conditionalFormatting sqref="D29">
    <cfRule type="cellIs" dxfId="27" priority="9" operator="equal">
      <formula>""</formula>
    </cfRule>
    <cfRule type="cellIs" dxfId="26" priority="10" operator="equal">
      <formula>0</formula>
    </cfRule>
    <cfRule type="cellIs" dxfId="25" priority="11" operator="greaterThan">
      <formula>0</formula>
    </cfRule>
    <cfRule type="cellIs" dxfId="24" priority="12" operator="lessThan">
      <formula>0</formula>
    </cfRule>
  </conditionalFormatting>
  <conditionalFormatting sqref="H28">
    <cfRule type="cellIs" dxfId="23" priority="5" operator="equal">
      <formula>1</formula>
    </cfRule>
    <cfRule type="cellIs" dxfId="22" priority="6" operator="equal">
      <formula>0</formula>
    </cfRule>
    <cfRule type="cellIs" dxfId="21" priority="7" operator="lessThan">
      <formula>1</formula>
    </cfRule>
    <cfRule type="cellIs" dxfId="20" priority="8" operator="greaterThan">
      <formula>1</formula>
    </cfRule>
  </conditionalFormatting>
  <conditionalFormatting sqref="H29">
    <cfRule type="cellIs" dxfId="19" priority="1" operator="equal">
      <formula>""</formula>
    </cfRule>
    <cfRule type="cellIs" dxfId="18" priority="2" operator="equal">
      <formula>0</formula>
    </cfRule>
    <cfRule type="cellIs" dxfId="17" priority="3" operator="greaterThan">
      <formula>0</formula>
    </cfRule>
    <cfRule type="cellIs" dxfId="16" priority="4" operator="lessThan">
      <formula>0</formula>
    </cfRule>
  </conditionalFormatting>
  <hyperlinks>
    <hyperlink ref="F26" r:id="rId1" xr:uid="{4B7BCC77-980B-4827-8F82-869233EE6A9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E1136-C89D-4D24-AE8C-64EDB91372E3}">
  <dimension ref="A1:L32"/>
  <sheetViews>
    <sheetView tabSelected="1" zoomScale="90" zoomScaleNormal="90" workbookViewId="0">
      <selection activeCell="A5" sqref="A5"/>
    </sheetView>
  </sheetViews>
  <sheetFormatPr baseColWidth="10" defaultColWidth="11.42578125" defaultRowHeight="15" x14ac:dyDescent="0.25"/>
  <cols>
    <col min="1" max="1" width="22.42578125" customWidth="1"/>
    <col min="2" max="2" width="20.5703125" customWidth="1"/>
    <col min="3" max="3" width="22.5703125" customWidth="1"/>
    <col min="4" max="4" width="27" customWidth="1"/>
    <col min="5" max="5" width="25.85546875" customWidth="1"/>
    <col min="6" max="6" width="31" customWidth="1"/>
    <col min="7" max="7" width="30.7109375" customWidth="1"/>
    <col min="8" max="8" width="15.140625" customWidth="1"/>
  </cols>
  <sheetData>
    <row r="1" spans="1:12" ht="15.75" thickBot="1" x14ac:dyDescent="0.3">
      <c r="A1" s="12" t="s">
        <v>64</v>
      </c>
      <c r="B1" s="4" t="s">
        <v>0</v>
      </c>
      <c r="C1" s="4" t="s">
        <v>1</v>
      </c>
      <c r="D1" s="4" t="s">
        <v>55</v>
      </c>
      <c r="E1" s="4" t="s">
        <v>60</v>
      </c>
      <c r="F1" s="4" t="s">
        <v>54</v>
      </c>
      <c r="G1" s="4" t="s">
        <v>65</v>
      </c>
      <c r="H1" s="4" t="s">
        <v>5</v>
      </c>
    </row>
    <row r="2" spans="1:12" ht="15" customHeight="1" thickBot="1" x14ac:dyDescent="0.3">
      <c r="B2" s="13" t="s">
        <v>7</v>
      </c>
      <c r="C2" s="13" t="s">
        <v>8</v>
      </c>
      <c r="D2" s="22">
        <v>1.3212152777777777</v>
      </c>
      <c r="E2" s="17">
        <f>(D2*24) / 20</f>
        <v>1.5854583333333332</v>
      </c>
      <c r="F2" s="20">
        <v>6.5</v>
      </c>
      <c r="G2" s="20">
        <f>((E2*10)+F2)/2</f>
        <v>11.177291666666665</v>
      </c>
      <c r="H2" s="3">
        <f>G2 / AVERAGE($G$2:$G$21)</f>
        <v>1.3552190749318194</v>
      </c>
    </row>
    <row r="3" spans="1:12" ht="15" customHeight="1" thickBot="1" x14ac:dyDescent="0.3">
      <c r="B3" s="13" t="s">
        <v>9</v>
      </c>
      <c r="C3" s="13" t="s">
        <v>10</v>
      </c>
      <c r="D3" s="23">
        <v>0.87565972222222221</v>
      </c>
      <c r="E3" s="17">
        <f t="shared" ref="E3:E21" si="0">(D3*24) / 20</f>
        <v>1.0507916666666666</v>
      </c>
      <c r="F3" s="20">
        <v>5</v>
      </c>
      <c r="G3" s="20">
        <f t="shared" ref="G3:G21" si="1">((E3*10)+F3)/2</f>
        <v>7.7539583333333333</v>
      </c>
      <c r="H3" s="3">
        <f t="shared" ref="H3:H21" si="2">G3 / AVERAGE($G$2:$G$21)</f>
        <v>0.94014834299243988</v>
      </c>
    </row>
    <row r="4" spans="1:12" ht="15" customHeight="1" thickBot="1" x14ac:dyDescent="0.3">
      <c r="B4" s="13" t="s">
        <v>11</v>
      </c>
      <c r="C4" s="13" t="s">
        <v>12</v>
      </c>
      <c r="D4" s="24">
        <v>1.0733333333333333</v>
      </c>
      <c r="E4" s="17">
        <f t="shared" si="0"/>
        <v>1.2879999999999998</v>
      </c>
      <c r="F4" s="20">
        <v>5</v>
      </c>
      <c r="G4" s="20">
        <f t="shared" si="1"/>
        <v>8.94</v>
      </c>
      <c r="H4" s="3">
        <f t="shared" si="2"/>
        <v>1.0839529727959263</v>
      </c>
    </row>
    <row r="5" spans="1:12" ht="15.75" thickBot="1" x14ac:dyDescent="0.3">
      <c r="B5" s="13" t="s">
        <v>11</v>
      </c>
      <c r="C5" s="13" t="s">
        <v>13</v>
      </c>
      <c r="D5" s="23">
        <v>0.79408564814814819</v>
      </c>
      <c r="E5" s="17">
        <f t="shared" si="0"/>
        <v>0.95290277777777777</v>
      </c>
      <c r="F5" s="20">
        <v>8</v>
      </c>
      <c r="G5" s="20">
        <f t="shared" si="1"/>
        <v>8.7645138888888887</v>
      </c>
      <c r="H5" s="3">
        <f t="shared" si="2"/>
        <v>1.0626757142027177</v>
      </c>
    </row>
    <row r="6" spans="1:12" ht="15" customHeight="1" thickBot="1" x14ac:dyDescent="0.3">
      <c r="B6" s="13" t="s">
        <v>14</v>
      </c>
      <c r="C6" s="13" t="s">
        <v>15</v>
      </c>
      <c r="D6" s="23">
        <v>0.91697916666666668</v>
      </c>
      <c r="E6" s="17">
        <f t="shared" si="0"/>
        <v>1.1003750000000001</v>
      </c>
      <c r="F6" s="20">
        <v>6</v>
      </c>
      <c r="G6" s="20">
        <f t="shared" si="1"/>
        <v>8.5018750000000001</v>
      </c>
      <c r="H6" s="3">
        <f t="shared" si="2"/>
        <v>1.0308313960390789</v>
      </c>
    </row>
    <row r="7" spans="1:12" ht="15" customHeight="1" thickBot="1" x14ac:dyDescent="0.3">
      <c r="B7" s="13" t="s">
        <v>16</v>
      </c>
      <c r="C7" s="13" t="s">
        <v>17</v>
      </c>
      <c r="D7" s="23">
        <v>0.9202893518518519</v>
      </c>
      <c r="E7" s="17">
        <f t="shared" si="0"/>
        <v>1.1043472222222221</v>
      </c>
      <c r="F7" s="20">
        <v>6</v>
      </c>
      <c r="G7" s="20">
        <f t="shared" si="1"/>
        <v>8.5217361111111103</v>
      </c>
      <c r="H7" s="3">
        <f t="shared" si="2"/>
        <v>1.033239506825647</v>
      </c>
      <c r="L7" s="18"/>
    </row>
    <row r="8" spans="1:12" ht="15" customHeight="1" thickBot="1" x14ac:dyDescent="0.3">
      <c r="B8" s="13" t="s">
        <v>18</v>
      </c>
      <c r="C8" s="13" t="s">
        <v>19</v>
      </c>
      <c r="D8" s="23">
        <v>0.97291666666666665</v>
      </c>
      <c r="E8" s="17">
        <f t="shared" si="0"/>
        <v>1.1675</v>
      </c>
      <c r="F8" s="20">
        <v>6</v>
      </c>
      <c r="G8" s="20">
        <f t="shared" si="1"/>
        <v>8.8375000000000004</v>
      </c>
      <c r="H8" s="3">
        <f t="shared" si="2"/>
        <v>1.0715251003449662</v>
      </c>
    </row>
    <row r="9" spans="1:12" ht="15" customHeight="1" thickBot="1" x14ac:dyDescent="0.3">
      <c r="B9" s="13" t="s">
        <v>20</v>
      </c>
      <c r="C9" s="13" t="s">
        <v>21</v>
      </c>
      <c r="D9" s="23">
        <v>0.76469907407407411</v>
      </c>
      <c r="E9" s="17">
        <f t="shared" si="0"/>
        <v>0.91763888888888889</v>
      </c>
      <c r="F9" s="20">
        <v>6</v>
      </c>
      <c r="G9" s="20">
        <f t="shared" si="1"/>
        <v>7.5881944444444445</v>
      </c>
      <c r="H9" s="3">
        <f t="shared" si="2"/>
        <v>0.92004987988915965</v>
      </c>
    </row>
    <row r="10" spans="1:12" ht="15.75" thickBot="1" x14ac:dyDescent="0.3">
      <c r="B10" s="13" t="s">
        <v>22</v>
      </c>
      <c r="C10" s="13" t="s">
        <v>23</v>
      </c>
      <c r="D10" s="23">
        <v>0.81597222222222221</v>
      </c>
      <c r="E10" s="17">
        <f t="shared" si="0"/>
        <v>0.97916666666666663</v>
      </c>
      <c r="F10" s="20">
        <v>5</v>
      </c>
      <c r="G10" s="20">
        <f t="shared" si="1"/>
        <v>7.395833333333333</v>
      </c>
      <c r="H10" s="3">
        <f t="shared" si="2"/>
        <v>0.89672656912414661</v>
      </c>
    </row>
    <row r="11" spans="1:12" ht="15.75" thickBot="1" x14ac:dyDescent="0.3">
      <c r="B11" s="13" t="s">
        <v>24</v>
      </c>
      <c r="C11" s="13" t="s">
        <v>25</v>
      </c>
      <c r="D11" s="23">
        <v>0.83481481481481479</v>
      </c>
      <c r="E11" s="17">
        <f t="shared" si="0"/>
        <v>1.0017777777777777</v>
      </c>
      <c r="F11" s="20">
        <v>7.5</v>
      </c>
      <c r="G11" s="20">
        <f t="shared" si="1"/>
        <v>8.7588888888888885</v>
      </c>
      <c r="H11" s="3">
        <f t="shared" si="2"/>
        <v>1.0619936968121162</v>
      </c>
    </row>
    <row r="12" spans="1:12" ht="15.75" thickBot="1" x14ac:dyDescent="0.3">
      <c r="B12" s="13" t="s">
        <v>26</v>
      </c>
      <c r="C12" s="13" t="s">
        <v>27</v>
      </c>
      <c r="D12" s="23">
        <v>0.75748842592592591</v>
      </c>
      <c r="E12" s="17">
        <f t="shared" si="0"/>
        <v>0.90898611111111105</v>
      </c>
      <c r="F12" s="20">
        <v>5</v>
      </c>
      <c r="G12" s="20">
        <f t="shared" si="1"/>
        <v>7.0449305555555553</v>
      </c>
      <c r="H12" s="3">
        <f t="shared" si="2"/>
        <v>0.8541804719055146</v>
      </c>
    </row>
    <row r="13" spans="1:12" ht="15.75" thickBot="1" x14ac:dyDescent="0.3">
      <c r="B13" s="13" t="s">
        <v>28</v>
      </c>
      <c r="C13" s="13" t="s">
        <v>29</v>
      </c>
      <c r="D13" s="23">
        <v>0.875</v>
      </c>
      <c r="E13" s="17">
        <f t="shared" si="0"/>
        <v>1.05</v>
      </c>
      <c r="F13" s="20">
        <v>5</v>
      </c>
      <c r="G13" s="20">
        <f t="shared" si="1"/>
        <v>7.75</v>
      </c>
      <c r="H13" s="3">
        <f t="shared" si="2"/>
        <v>0.9396684048286833</v>
      </c>
    </row>
    <row r="14" spans="1:12" ht="15.75" thickBot="1" x14ac:dyDescent="0.3">
      <c r="B14" s="13" t="s">
        <v>30</v>
      </c>
      <c r="C14" s="13" t="s">
        <v>31</v>
      </c>
      <c r="D14" s="23">
        <v>0.93865740740740744</v>
      </c>
      <c r="E14" s="17">
        <f t="shared" si="0"/>
        <v>1.1263888888888889</v>
      </c>
      <c r="F14" s="20">
        <v>6</v>
      </c>
      <c r="G14" s="20">
        <f t="shared" si="1"/>
        <v>8.6319444444444446</v>
      </c>
      <c r="H14" s="3">
        <f t="shared" si="2"/>
        <v>1.0466019957007646</v>
      </c>
      <c r="L14" s="19"/>
    </row>
    <row r="15" spans="1:12" ht="15.75" thickBot="1" x14ac:dyDescent="0.3">
      <c r="B15" s="13" t="s">
        <v>11</v>
      </c>
      <c r="C15" s="13" t="s">
        <v>32</v>
      </c>
      <c r="D15" s="24">
        <v>1.0462615740740742</v>
      </c>
      <c r="E15" s="17">
        <f t="shared" si="0"/>
        <v>1.255513888888889</v>
      </c>
      <c r="F15" s="20">
        <v>5</v>
      </c>
      <c r="G15" s="20">
        <f t="shared" si="1"/>
        <v>8.7775694444444454</v>
      </c>
      <c r="H15" s="3">
        <f t="shared" si="2"/>
        <v>1.064258668146336</v>
      </c>
    </row>
    <row r="16" spans="1:12" ht="15.75" thickBot="1" x14ac:dyDescent="0.3">
      <c r="B16" s="13" t="s">
        <v>33</v>
      </c>
      <c r="C16" s="13" t="s">
        <v>34</v>
      </c>
      <c r="D16" s="23">
        <v>0.7492361111111111</v>
      </c>
      <c r="E16" s="17">
        <f t="shared" si="0"/>
        <v>0.89908333333333323</v>
      </c>
      <c r="F16" s="20">
        <v>5</v>
      </c>
      <c r="G16" s="20">
        <f t="shared" si="1"/>
        <v>6.9954166666666664</v>
      </c>
      <c r="H16" s="3">
        <f t="shared" si="2"/>
        <v>0.84817703487466467</v>
      </c>
    </row>
    <row r="17" spans="1:8" ht="15.75" thickBot="1" x14ac:dyDescent="0.3">
      <c r="B17" s="13" t="s">
        <v>35</v>
      </c>
      <c r="C17" s="13" t="s">
        <v>36</v>
      </c>
      <c r="D17" s="23">
        <v>0.80880787037037039</v>
      </c>
      <c r="E17" s="17">
        <f t="shared" si="0"/>
        <v>0.97056944444444448</v>
      </c>
      <c r="F17" s="20">
        <v>5</v>
      </c>
      <c r="G17" s="20">
        <f t="shared" si="1"/>
        <v>7.3528472222222225</v>
      </c>
      <c r="H17" s="3">
        <f t="shared" si="2"/>
        <v>0.89151460906510593</v>
      </c>
    </row>
    <row r="18" spans="1:8" ht="15.75" thickBot="1" x14ac:dyDescent="0.3">
      <c r="B18" s="13" t="s">
        <v>37</v>
      </c>
      <c r="C18" s="13" t="s">
        <v>38</v>
      </c>
      <c r="D18" s="23">
        <v>0.95706018518518521</v>
      </c>
      <c r="E18" s="17">
        <f t="shared" si="0"/>
        <v>1.1484722222222223</v>
      </c>
      <c r="F18" s="20">
        <v>6</v>
      </c>
      <c r="G18" s="20">
        <f t="shared" si="1"/>
        <v>8.7423611111111121</v>
      </c>
      <c r="H18" s="3">
        <f t="shared" si="2"/>
        <v>1.0599897444792379</v>
      </c>
    </row>
    <row r="19" spans="1:8" ht="15.75" thickBot="1" x14ac:dyDescent="0.3">
      <c r="B19" s="13" t="s">
        <v>39</v>
      </c>
      <c r="C19" s="13" t="s">
        <v>40</v>
      </c>
      <c r="D19" s="23">
        <v>0.79861111111111116</v>
      </c>
      <c r="E19" s="17">
        <f t="shared" si="0"/>
        <v>0.95833333333333337</v>
      </c>
      <c r="F19" s="20">
        <v>6</v>
      </c>
      <c r="G19" s="20">
        <f t="shared" si="1"/>
        <v>7.791666666666667</v>
      </c>
      <c r="H19" s="3">
        <f t="shared" si="2"/>
        <v>0.9447203854998053</v>
      </c>
    </row>
    <row r="20" spans="1:8" ht="15.75" thickBot="1" x14ac:dyDescent="0.3">
      <c r="B20" s="13" t="s">
        <v>35</v>
      </c>
      <c r="C20" s="13" t="s">
        <v>41</v>
      </c>
      <c r="D20" s="23">
        <v>0.84755787037037034</v>
      </c>
      <c r="E20" s="17">
        <f t="shared" si="0"/>
        <v>1.0170694444444444</v>
      </c>
      <c r="F20" s="20">
        <v>6</v>
      </c>
      <c r="G20" s="20">
        <f t="shared" si="1"/>
        <v>8.0853472222222216</v>
      </c>
      <c r="H20" s="3">
        <f t="shared" si="2"/>
        <v>0.98032842926342967</v>
      </c>
    </row>
    <row r="21" spans="1:8" ht="15.75" thickBot="1" x14ac:dyDescent="0.3">
      <c r="B21" s="13" t="s">
        <v>42</v>
      </c>
      <c r="C21" s="13" t="s">
        <v>43</v>
      </c>
      <c r="D21" s="23">
        <v>0.75665509259259256</v>
      </c>
      <c r="E21" s="17">
        <f t="shared" si="0"/>
        <v>0.90798611111111105</v>
      </c>
      <c r="F21" s="20">
        <v>6</v>
      </c>
      <c r="G21" s="20">
        <f t="shared" si="1"/>
        <v>7.5399305555555554</v>
      </c>
      <c r="H21" s="3">
        <f t="shared" si="2"/>
        <v>0.91419800227844339</v>
      </c>
    </row>
    <row r="22" spans="1:8" ht="15.75" thickBot="1" x14ac:dyDescent="0.3">
      <c r="B22" s="13"/>
      <c r="C22" s="13"/>
      <c r="D22" s="14"/>
      <c r="E22" s="14"/>
      <c r="F22" s="14"/>
      <c r="G22" s="14"/>
      <c r="H22" s="3"/>
    </row>
    <row r="23" spans="1:8" ht="15.75" thickBot="1" x14ac:dyDescent="0.3">
      <c r="B23" s="13"/>
      <c r="C23" s="13"/>
      <c r="D23" s="14"/>
      <c r="E23" s="14"/>
      <c r="F23" s="14"/>
      <c r="G23" s="14"/>
      <c r="H23" s="3"/>
    </row>
    <row r="24" spans="1:8" ht="15.75" thickBot="1" x14ac:dyDescent="0.3">
      <c r="B24" s="13"/>
      <c r="C24" s="13"/>
      <c r="D24" s="14"/>
      <c r="E24" s="14"/>
      <c r="F24" s="14"/>
      <c r="G24" s="14"/>
      <c r="H24" s="3"/>
    </row>
    <row r="25" spans="1:8" ht="15.75" thickBot="1" x14ac:dyDescent="0.3">
      <c r="B25" s="13"/>
      <c r="C25" s="13"/>
      <c r="D25" s="14"/>
      <c r="E25" s="14"/>
      <c r="F25" s="14"/>
      <c r="G25" s="14"/>
      <c r="H25" s="3"/>
    </row>
    <row r="26" spans="1:8" ht="15.75" thickBot="1" x14ac:dyDescent="0.3">
      <c r="C26" s="21"/>
      <c r="D26" s="2" t="s">
        <v>66</v>
      </c>
      <c r="E26" s="2" t="s">
        <v>67</v>
      </c>
      <c r="F26" s="15" t="s">
        <v>57</v>
      </c>
      <c r="G26" s="2" t="s">
        <v>59</v>
      </c>
      <c r="H26" s="2"/>
    </row>
    <row r="27" spans="1:8" x14ac:dyDescent="0.25">
      <c r="A27" t="s">
        <v>63</v>
      </c>
      <c r="B27" s="21">
        <v>20</v>
      </c>
      <c r="C27" s="12"/>
      <c r="D27" s="2"/>
      <c r="H27" s="2"/>
    </row>
    <row r="28" spans="1:8" x14ac:dyDescent="0.25">
      <c r="C28" s="25" t="s">
        <v>62</v>
      </c>
      <c r="D28" s="25"/>
      <c r="E28" s="25"/>
      <c r="H28" s="6">
        <f>SUM(H2:H21)/20</f>
        <v>1.0000000000000004</v>
      </c>
    </row>
    <row r="29" spans="1:8" x14ac:dyDescent="0.25">
      <c r="D29" s="7"/>
      <c r="H29" s="7">
        <f t="shared" ref="H29" si="3">1-H28</f>
        <v>0</v>
      </c>
    </row>
    <row r="32" spans="1:8" x14ac:dyDescent="0.25">
      <c r="D32" s="11"/>
    </row>
  </sheetData>
  <mergeCells count="1">
    <mergeCell ref="C28:E28"/>
  </mergeCells>
  <conditionalFormatting sqref="C28">
    <cfRule type="cellIs" dxfId="15" priority="13" operator="equal">
      <formula>1</formula>
    </cfRule>
    <cfRule type="cellIs" dxfId="14" priority="14" operator="equal">
      <formula>0</formula>
    </cfRule>
    <cfRule type="cellIs" dxfId="13" priority="15" operator="lessThan">
      <formula>1</formula>
    </cfRule>
    <cfRule type="cellIs" dxfId="12" priority="16" operator="greaterThan">
      <formula>1</formula>
    </cfRule>
  </conditionalFormatting>
  <conditionalFormatting sqref="D29">
    <cfRule type="cellIs" dxfId="11" priority="9" operator="equal">
      <formula>""</formula>
    </cfRule>
    <cfRule type="cellIs" dxfId="10" priority="10" operator="equal">
      <formula>0</formula>
    </cfRule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H28">
    <cfRule type="cellIs" dxfId="7" priority="5" operator="equal">
      <formula>1</formula>
    </cfRule>
    <cfRule type="cellIs" dxfId="6" priority="6" operator="equal">
      <formula>0</formula>
    </cfRule>
    <cfRule type="cellIs" dxfId="5" priority="7" operator="lessThan">
      <formula>1</formula>
    </cfRule>
    <cfRule type="cellIs" dxfId="4" priority="8" operator="greaterThan">
      <formula>1</formula>
    </cfRule>
  </conditionalFormatting>
  <conditionalFormatting sqref="H29">
    <cfRule type="cellIs" dxfId="3" priority="1" operator="equal">
      <formula>""</formula>
    </cfRule>
    <cfRule type="cellIs" dxfId="2" priority="2" operator="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hyperlinks>
    <hyperlink ref="F26" r:id="rId1" xr:uid="{71C0FBE0-DA10-49E9-9C1E-48D5E82E5DF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579F-62C1-4DAA-AEA7-548BB531F479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9E9797445E2EA4280A45CB90FD95CBD" ma:contentTypeVersion="7" ma:contentTypeDescription="Crear nuevo documento." ma:contentTypeScope="" ma:versionID="b362696dc43ecf0429c4c65f28c02171">
  <xsd:schema xmlns:xsd="http://www.w3.org/2001/XMLSchema" xmlns:xs="http://www.w3.org/2001/XMLSchema" xmlns:p="http://schemas.microsoft.com/office/2006/metadata/properties" xmlns:ns2="ba0fee18-8f7d-444d-be37-1e56d133d327" targetNamespace="http://schemas.microsoft.com/office/2006/metadata/properties" ma:root="true" ma:fieldsID="79fc1cf0b24a9b8e3e12f8f8264ba269" ns2:_="">
    <xsd:import namespace="ba0fee18-8f7d-444d-be37-1e56d133d32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fee18-8f7d-444d-be37-1e56d133d3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4B272D-551A-4AF9-B220-C688C9745E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0DDDC5-E50E-4F26-8594-4A1786F565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a0fee18-8f7d-444d-be37-1e56d133d32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D0D844A-E87E-42E2-B155-132CABE6786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Contribución a los entregables</vt:lpstr>
      <vt:lpstr>Comentarios sobre #DP</vt:lpstr>
      <vt:lpstr>Comentarios sobre #S1</vt:lpstr>
      <vt:lpstr>Comentarios sobre #S2</vt:lpstr>
      <vt:lpstr>Comentarios sobre #S3</vt:lpstr>
      <vt:lpstr>Comentarios sobre #PPL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FERNANDEZ MONTES</dc:creator>
  <cp:keywords/>
  <dc:description/>
  <cp:lastModifiedBy>SERGIO TERRAZAS LOBATO</cp:lastModifiedBy>
  <cp:revision/>
  <dcterms:created xsi:type="dcterms:W3CDTF">2026-02-12T07:56:44Z</dcterms:created>
  <dcterms:modified xsi:type="dcterms:W3CDTF">2026-04-15T13:31:16Z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0x01010099E9797445E2EA4280A45CB90FD95CBD</vt:lpwstr>
  </property>
</Properties>
</file>